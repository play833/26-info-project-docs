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<sst xmlns="http://schemas.openxmlformats.org/spreadsheetml/2006/main" count="75" uniqueCount="67">
  <si>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2026年山东科技厅创新发展研究院信息化项目预算表</t>
  </si>
  <si>
    <t>往期系统支持/新需求线索</t>
  </si>
  <si>
    <t>科技成果转化创新生态服务系统</t>
  </si>
  <si>
    <t>科技成果转化评价系统</t>
  </si>
  <si>
    <t>序号</t>
  </si>
  <si>
    <t>项目成员</t>
  </si>
  <si>
    <t>项目组织</t>
  </si>
  <si>
    <t>项目角色</t>
  </si>
  <si>
    <t>项目职责</t>
  </si>
  <si>
    <t>管理工时（人天）</t>
  </si>
  <si>
    <t>设计工时（人天）</t>
  </si>
  <si>
    <t>开发（测试）工时</t>
  </si>
  <si>
    <t>运维/运营工时</t>
  </si>
  <si>
    <r>
      <t>单价</t>
    </r>
    <r>
      <rPr>
        <sz val="11"/>
        <color theme="1"/>
        <rFont val="等线"/>
        <charset val="134"/>
      </rPr>
      <t>（元）</t>
    </r>
  </si>
  <si>
    <t>差旅费（元）</t>
  </si>
  <si>
    <t>其他补贴元）</t>
  </si>
  <si>
    <r>
      <t>费用合计</t>
    </r>
    <r>
      <rPr>
        <sz val="11"/>
        <color theme="1"/>
        <rFont val="宋体"/>
        <charset val="134"/>
        <scheme val="minor"/>
      </rPr>
      <t>(</t>
    </r>
    <r>
      <rPr>
        <sz val="11"/>
        <color theme="1"/>
        <rFont val="等线"/>
        <charset val="134"/>
      </rPr>
      <t>人天</t>
    </r>
    <r>
      <rPr>
        <sz val="11"/>
        <color theme="1"/>
        <rFont val="宋体"/>
        <charset val="134"/>
        <scheme val="minor"/>
      </rPr>
      <t>)</t>
    </r>
  </si>
  <si>
    <t>备注</t>
  </si>
  <si>
    <t>邝秉哲</t>
  </si>
  <si>
    <t>项目管理</t>
  </si>
  <si>
    <t>项目总监</t>
  </si>
  <si>
    <t>1.负责整个项目的方向性把控
2.负责总体资源调配
3.负责对整体项目计划、需求内容做最终审核</t>
  </si>
  <si>
    <t>王元</t>
  </si>
  <si>
    <t>项目实施组</t>
  </si>
  <si>
    <t>项目经理</t>
  </si>
  <si>
    <t>1.具体负责项目的进度和质量，达到实施的目标和标准
2.审核并确认系统分析报告及蓝图设计方案
3.定期进行项目总结，汇报项目进展情况
4.遇到重大、疑难问题时，及时向项目领导组汇报，并执行具体的解决措施
5.定期组织与客户方的项目小组进行沟通，及时了解客户信息</t>
  </si>
  <si>
    <t>王琦</t>
  </si>
  <si>
    <t>产品经理</t>
  </si>
  <si>
    <t>1.负责客户需求调研、方案梳理和需求定义，负责设计产品详细方案
2.负责对产品整体体验负责，对产品架构负责；
3.负责对系统SIT测试结果进行验收；参与UAT测试准入评审
4.配合项目经理发起的验收工作等</t>
  </si>
  <si>
    <t>刘彬</t>
  </si>
  <si>
    <t>庄晓彬</t>
  </si>
  <si>
    <t>何赵营</t>
  </si>
  <si>
    <t>董熠璇</t>
  </si>
  <si>
    <t>实施顾问</t>
  </si>
  <si>
    <t>1.根据项目经理的安排进行现场咨询及调研
2.根据现场咨询和调研内容撰写系统解决方案
3.负责各模块的培训及系统初始化工作
4.负责业务操作人员的培训及按计划完成各项实施任务，提交项目状态报告
5.负责业务流程优化建议
6.设置系统测试方案并协助客户方项目组进行各模块测试、集成测试
7.及时反馈实施过程中的问题</t>
  </si>
  <si>
    <t>何善海</t>
  </si>
  <si>
    <t>项目开发组</t>
  </si>
  <si>
    <t>开发经理</t>
  </si>
  <si>
    <t>1.负责系统整体技术架构规划，按照敏捷开发方法完成制定开发计划并分配开发任务
2.按照项目开发流程、开发质量和开发进度要求完成任务
3.与项目经理、产品经理、开发人员、测试人员协调、沟通相关任务
4.系统设计和核心代码的编写，解决技术重点及难点问题</t>
  </si>
  <si>
    <t>蔡俊伟</t>
  </si>
  <si>
    <t>开发顾问</t>
  </si>
  <si>
    <t>1.根据开发计划进行系统开发、单元测试、系统发布
2.根据项目计划完成系统优化及修复任务</t>
  </si>
  <si>
    <t>吴亦龙</t>
  </si>
  <si>
    <t>张一</t>
  </si>
  <si>
    <t>吴楠</t>
  </si>
  <si>
    <t>罗德远</t>
  </si>
  <si>
    <t>苏冠华</t>
  </si>
  <si>
    <t>、张凯、尹小刚</t>
  </si>
  <si>
    <t>吴晓彬、柯金霞、</t>
  </si>
  <si>
    <t>林苗苗</t>
  </si>
  <si>
    <t>项目设计组</t>
  </si>
  <si>
    <t>设计顾问</t>
  </si>
  <si>
    <t>1.参与设计策略、方案的前期研究与制定
2.根据项目进度要求完成相关设计任务，并确保设计质量与一致性
3.提交设计成果并反馈相关评估与优化建议</t>
  </si>
  <si>
    <t>李雍</t>
  </si>
  <si>
    <t>项目测试组</t>
  </si>
  <si>
    <t>测试顾问</t>
  </si>
  <si>
    <t>1.参与测试计划、用例的制定
2.按照进度要求完成相关开发的测试任务
3.提交相关测试的结果反馈</t>
  </si>
  <si>
    <t>苏运振</t>
  </si>
  <si>
    <t>钟国华</t>
  </si>
  <si>
    <t>项目安全组</t>
  </si>
  <si>
    <t>安全顾问</t>
  </si>
  <si>
    <t>1.负责系统安全需求调研与分析，识别业务场景中的安全风险与合规要求，制定安全方案设计与技术标准定义。
2.负责对系统整体安全性负责，设计并评审安全架构，确保其符合安全规范与防御要求。
3.负责主导或参与安全测试（如渗透测试、漏洞扫描等），对测试结果进行评审与验收；参与系统上线前的安全合规评审。
4.配合项目交付与验收环节，提供安全评估报告与风险处置建议，确保系统达到安全目标。</t>
  </si>
  <si>
    <t>黄一桐</t>
  </si>
  <si>
    <t>项目运维组</t>
  </si>
  <si>
    <t>运维顾问</t>
  </si>
  <si>
    <t>1.负责对接用户问题及系统运维问题处理
2.负责收集用户使用情况，与项目经理、产品经理、开发人员保持沟通，参与系统优化迭代或问题修复计划
3.保证系统顺畅运行，系统正式运行后每月出具系统运营报告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</si>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</sst>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6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workbookViewId="0">
      <pane ySplit="3" topLeftCell="A4" activePane="bottomLeft" state="frozen"/>
      <selection/>
      <selection pane="bottomLeft" activeCell="A1" sqref="A1:V1"/>
    </sheetView>
  </sheetViews>
  <sheetFormatPr defaultColWidth="9.23076923076923" defaultRowHeight="16.8"/>
  <cols>
    <col min="2" max="2" width="32.1538461538462" customWidth="1"/>
    <col min="3" max="3" width="11.2307692307692" customWidth="1"/>
    <col min="4" max="4" width="8.46153846153846" customWidth="1"/>
    <col min="5" max="5" width="47.9134615384615" customWidth="1"/>
    <col min="8" max="8" width="10.7403846153846" customWidth="1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9"/>
    </row>
    <row r="2" ht="23.2" spans="1:22">
      <c r="A2" s="3"/>
      <c r="B2" s="3"/>
      <c r="C2" s="3"/>
      <c r="D2" s="3"/>
      <c r="E2" s="3"/>
      <c r="F2" s="14" t="s">
        <v>1</v>
      </c>
      <c r="G2" s="14"/>
      <c r="H2" s="14"/>
      <c r="I2" s="14"/>
      <c r="J2" s="14" t="s">
        <v>2</v>
      </c>
      <c r="K2" s="14"/>
      <c r="L2" s="14"/>
      <c r="M2" s="14"/>
      <c r="N2" s="18" t="s">
        <v>3</v>
      </c>
      <c r="O2" s="18"/>
      <c r="P2" s="18"/>
      <c r="Q2" s="18"/>
      <c r="R2" s="3"/>
      <c r="S2" s="3"/>
      <c r="T2" s="3"/>
      <c r="U2" s="3"/>
      <c r="V2" s="3"/>
    </row>
    <row r="3" s="1" customFormat="1" ht="68" spans="1:22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15" t="s">
        <v>9</v>
      </c>
      <c r="G3" s="16" t="s">
        <v>10</v>
      </c>
      <c r="H3" s="4" t="s">
        <v>11</v>
      </c>
      <c r="I3" s="4" t="s">
        <v>12</v>
      </c>
      <c r="J3" s="15" t="s">
        <v>9</v>
      </c>
      <c r="K3" s="16" t="s">
        <v>10</v>
      </c>
      <c r="L3" s="4" t="s">
        <v>11</v>
      </c>
      <c r="M3" s="4" t="s">
        <v>12</v>
      </c>
      <c r="N3" s="15" t="s">
        <v>9</v>
      </c>
      <c r="O3" s="16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20" t="s">
        <v>16</v>
      </c>
      <c r="V3" s="4" t="s">
        <v>17</v>
      </c>
    </row>
    <row r="4" ht="46" spans="1:22">
      <c r="A4" s="3">
        <v>1</v>
      </c>
      <c r="B4" s="7" t="s">
        <v>18</v>
      </c>
      <c r="C4" s="8" t="s">
        <v>19</v>
      </c>
      <c r="D4" s="9" t="s">
        <v>20</v>
      </c>
      <c r="E4" s="17" t="s">
        <v>21</v>
      </c>
      <c r="F4" s="3">
        <v>50</v>
      </c>
      <c r="G4" s="3"/>
      <c r="H4" s="3"/>
      <c r="I4" s="3"/>
      <c r="J4" s="3">
        <v>100</v>
      </c>
      <c r="K4" s="3"/>
      <c r="L4" s="3"/>
      <c r="M4" s="3"/>
      <c r="N4" s="3">
        <v>100</v>
      </c>
      <c r="O4" s="3"/>
      <c r="P4" s="3"/>
      <c r="Q4" s="3"/>
      <c r="R4" s="3"/>
      <c r="S4" s="3"/>
      <c r="T4" s="3"/>
      <c r="U4" s="3">
        <f>SUM(F4:Q4)</f>
        <v>250</v>
      </c>
      <c r="V4" s="3"/>
    </row>
    <row r="5" ht="107" spans="1:22">
      <c r="A5" s="3">
        <v>2</v>
      </c>
      <c r="B5" s="7" t="s">
        <v>22</v>
      </c>
      <c r="C5" s="8" t="s">
        <v>23</v>
      </c>
      <c r="D5" s="9" t="s">
        <v>24</v>
      </c>
      <c r="E5" s="17" t="s">
        <v>25</v>
      </c>
      <c r="F5" s="3">
        <v>50</v>
      </c>
      <c r="G5" s="3"/>
      <c r="H5" s="3"/>
      <c r="I5" s="3"/>
      <c r="J5" s="3">
        <v>100</v>
      </c>
      <c r="K5" s="3"/>
      <c r="L5" s="3"/>
      <c r="M5" s="3"/>
      <c r="N5" s="3">
        <v>100</v>
      </c>
      <c r="O5" s="3"/>
      <c r="P5" s="3"/>
      <c r="Q5" s="3"/>
      <c r="R5" s="3"/>
      <c r="S5" s="3"/>
      <c r="T5" s="3"/>
      <c r="U5" s="3">
        <f t="shared" ref="U5:U45" si="0">SUM(F5:Q5)</f>
        <v>250</v>
      </c>
      <c r="V5" s="3"/>
    </row>
    <row r="6" spans="1:22">
      <c r="A6" s="3">
        <v>3</v>
      </c>
      <c r="B6" s="10" t="s">
        <v>26</v>
      </c>
      <c r="C6" s="8"/>
      <c r="D6" s="11" t="s">
        <v>27</v>
      </c>
      <c r="E6" s="11" t="s">
        <v>28</v>
      </c>
      <c r="F6" s="3"/>
      <c r="G6" s="3">
        <v>100</v>
      </c>
      <c r="H6" s="3"/>
      <c r="I6" s="3"/>
      <c r="J6" s="3"/>
      <c r="K6" s="3"/>
      <c r="L6" s="3"/>
      <c r="M6" s="3"/>
      <c r="N6" s="3">
        <v>150</v>
      </c>
      <c r="O6" s="3"/>
      <c r="P6" s="3"/>
      <c r="Q6" s="3"/>
      <c r="R6" s="3"/>
      <c r="S6" s="3"/>
      <c r="T6" s="3"/>
      <c r="U6" s="3">
        <f t="shared" si="0"/>
        <v>250</v>
      </c>
      <c r="V6" s="3"/>
    </row>
    <row r="7" spans="1:22">
      <c r="A7" s="3">
        <v>4</v>
      </c>
      <c r="B7" s="7" t="s">
        <v>29</v>
      </c>
      <c r="C7" s="8"/>
      <c r="D7" s="11"/>
      <c r="E7" s="11"/>
      <c r="F7" s="3"/>
      <c r="G7" s="3"/>
      <c r="H7" s="3"/>
      <c r="I7" s="3"/>
      <c r="J7" s="3">
        <v>250</v>
      </c>
      <c r="K7" s="3"/>
      <c r="L7" s="3"/>
      <c r="M7" s="3"/>
      <c r="N7" s="3"/>
      <c r="O7" s="3"/>
      <c r="P7" s="3"/>
      <c r="Q7" s="3"/>
      <c r="R7" s="3"/>
      <c r="S7" s="3"/>
      <c r="T7" s="3"/>
      <c r="U7" s="3">
        <f t="shared" si="0"/>
        <v>250</v>
      </c>
      <c r="V7" s="3"/>
    </row>
    <row r="8" spans="1:22">
      <c r="A8" s="3">
        <v>5</v>
      </c>
      <c r="B8" s="7" t="s">
        <v>30</v>
      </c>
      <c r="C8" s="8"/>
      <c r="D8" s="11"/>
      <c r="E8" s="11"/>
      <c r="F8" s="3"/>
      <c r="G8" s="3">
        <v>80</v>
      </c>
      <c r="H8" s="3"/>
      <c r="I8" s="3"/>
      <c r="J8" s="3">
        <v>170</v>
      </c>
      <c r="K8" s="3"/>
      <c r="L8" s="3"/>
      <c r="M8" s="3"/>
      <c r="N8" s="3"/>
      <c r="O8" s="3"/>
      <c r="P8" s="3"/>
      <c r="Q8" s="3"/>
      <c r="R8" s="3"/>
      <c r="S8" s="3"/>
      <c r="T8" s="3"/>
      <c r="U8" s="3">
        <f t="shared" si="0"/>
        <v>250</v>
      </c>
      <c r="V8" s="3"/>
    </row>
    <row r="9" spans="1:22">
      <c r="A9" s="3">
        <v>6</v>
      </c>
      <c r="B9" s="7" t="s">
        <v>31</v>
      </c>
      <c r="C9" s="8"/>
      <c r="D9" s="11"/>
      <c r="E9" s="11"/>
      <c r="F9" s="3"/>
      <c r="G9" s="3"/>
      <c r="H9" s="3"/>
      <c r="I9" s="3"/>
      <c r="J9" s="3">
        <v>250</v>
      </c>
      <c r="K9" s="3"/>
      <c r="L9" s="3"/>
      <c r="M9" s="3"/>
      <c r="N9" s="3"/>
      <c r="O9" s="3"/>
      <c r="P9" s="3"/>
      <c r="Q9" s="3"/>
      <c r="R9" s="3"/>
      <c r="S9" s="3"/>
      <c r="T9" s="3"/>
      <c r="U9" s="3">
        <f t="shared" si="0"/>
        <v>250</v>
      </c>
      <c r="V9" s="3"/>
    </row>
    <row r="10" ht="137" spans="1:22">
      <c r="A10" s="3">
        <v>7</v>
      </c>
      <c r="B10" s="7" t="s">
        <v>32</v>
      </c>
      <c r="C10" s="8"/>
      <c r="D10" s="9" t="s">
        <v>33</v>
      </c>
      <c r="E10" s="17" t="s">
        <v>34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f t="shared" si="0"/>
        <v>0</v>
      </c>
      <c r="V10" s="3"/>
    </row>
    <row r="11" ht="122" spans="1:22">
      <c r="A11" s="3">
        <v>8</v>
      </c>
      <c r="B11" s="7" t="s">
        <v>35</v>
      </c>
      <c r="C11" s="12" t="s">
        <v>36</v>
      </c>
      <c r="D11" s="9" t="s">
        <v>37</v>
      </c>
      <c r="E11" s="17" t="s">
        <v>38</v>
      </c>
      <c r="F11" s="3"/>
      <c r="G11" s="3"/>
      <c r="H11" s="3">
        <v>50</v>
      </c>
      <c r="I11" s="3"/>
      <c r="J11" s="3"/>
      <c r="K11" s="3"/>
      <c r="L11" s="3">
        <v>100</v>
      </c>
      <c r="M11" s="3"/>
      <c r="N11" s="3"/>
      <c r="O11" s="3"/>
      <c r="P11" s="3">
        <v>100</v>
      </c>
      <c r="Q11" s="3"/>
      <c r="R11" s="3"/>
      <c r="S11" s="3"/>
      <c r="T11" s="3"/>
      <c r="U11" s="3">
        <f t="shared" si="0"/>
        <v>250</v>
      </c>
      <c r="V11" s="3"/>
    </row>
    <row r="12" ht="17" spans="1:22">
      <c r="A12" s="3">
        <v>9</v>
      </c>
      <c r="B12" s="13" t="s">
        <v>39</v>
      </c>
      <c r="C12" s="12"/>
      <c r="D12" s="11" t="s">
        <v>40</v>
      </c>
      <c r="E12" s="11" t="s">
        <v>41</v>
      </c>
      <c r="F12" s="3"/>
      <c r="G12" s="3"/>
      <c r="H12" s="3">
        <v>50</v>
      </c>
      <c r="I12" s="3"/>
      <c r="J12" s="3"/>
      <c r="K12" s="3"/>
      <c r="L12" s="3">
        <v>100</v>
      </c>
      <c r="M12" s="3"/>
      <c r="N12" s="3"/>
      <c r="O12" s="3"/>
      <c r="P12" s="3">
        <v>100</v>
      </c>
      <c r="Q12" s="3"/>
      <c r="R12" s="3"/>
      <c r="S12" s="3"/>
      <c r="T12" s="3"/>
      <c r="U12" s="3">
        <f t="shared" si="0"/>
        <v>250</v>
      </c>
      <c r="V12" s="3"/>
    </row>
    <row r="13" spans="1:22">
      <c r="A13" s="3">
        <v>10</v>
      </c>
      <c r="B13" s="7" t="s">
        <v>42</v>
      </c>
      <c r="C13" s="12"/>
      <c r="D13" s="11"/>
      <c r="E13" s="11"/>
      <c r="F13" s="3"/>
      <c r="G13" s="3"/>
      <c r="H13" s="3">
        <v>50</v>
      </c>
      <c r="I13" s="3"/>
      <c r="J13" s="3"/>
      <c r="K13" s="3"/>
      <c r="L13" s="3">
        <v>100</v>
      </c>
      <c r="M13" s="3"/>
      <c r="N13" s="3"/>
      <c r="O13" s="3"/>
      <c r="P13" s="3">
        <v>100</v>
      </c>
      <c r="Q13" s="3"/>
      <c r="R13" s="3"/>
      <c r="S13" s="3"/>
      <c r="T13" s="3"/>
      <c r="U13" s="3">
        <f t="shared" si="0"/>
        <v>250</v>
      </c>
      <c r="V13" s="3"/>
    </row>
    <row r="14" spans="1:22">
      <c r="A14" s="3">
        <v>11</v>
      </c>
      <c r="B14" s="7" t="s">
        <v>43</v>
      </c>
      <c r="C14" s="12"/>
      <c r="D14" s="11"/>
      <c r="E14" s="11"/>
      <c r="F14" s="3"/>
      <c r="G14" s="3"/>
      <c r="H14" s="3">
        <v>50</v>
      </c>
      <c r="I14" s="3"/>
      <c r="J14" s="3"/>
      <c r="K14" s="3"/>
      <c r="L14" s="3">
        <v>100</v>
      </c>
      <c r="M14" s="3"/>
      <c r="N14" s="3"/>
      <c r="O14" s="3"/>
      <c r="P14" s="3">
        <v>100</v>
      </c>
      <c r="Q14" s="3"/>
      <c r="R14" s="3"/>
      <c r="S14" s="3"/>
      <c r="T14" s="3"/>
      <c r="U14" s="3">
        <f t="shared" si="0"/>
        <v>250</v>
      </c>
      <c r="V14" s="3"/>
    </row>
    <row r="15" spans="1:22">
      <c r="A15" s="3">
        <v>12</v>
      </c>
      <c r="B15" s="7" t="s">
        <v>44</v>
      </c>
      <c r="C15" s="12"/>
      <c r="D15" s="11"/>
      <c r="E15" s="11"/>
      <c r="F15" s="3"/>
      <c r="G15" s="3"/>
      <c r="H15" s="3">
        <v>50</v>
      </c>
      <c r="I15" s="3"/>
      <c r="J15" s="3"/>
      <c r="K15" s="3"/>
      <c r="L15" s="3">
        <v>100</v>
      </c>
      <c r="M15" s="3"/>
      <c r="N15" s="3"/>
      <c r="O15" s="3"/>
      <c r="P15" s="3">
        <v>100</v>
      </c>
      <c r="Q15" s="3"/>
      <c r="R15" s="3"/>
      <c r="S15" s="3"/>
      <c r="T15" s="3"/>
      <c r="U15" s="3">
        <f t="shared" si="0"/>
        <v>250</v>
      </c>
      <c r="V15" s="3"/>
    </row>
    <row r="16" spans="1:22">
      <c r="A16" s="3">
        <v>13</v>
      </c>
      <c r="B16" s="7" t="s">
        <v>45</v>
      </c>
      <c r="C16" s="12"/>
      <c r="D16" s="11"/>
      <c r="E16" s="11"/>
      <c r="F16" s="3"/>
      <c r="G16" s="3"/>
      <c r="H16" s="3">
        <v>50</v>
      </c>
      <c r="I16" s="3"/>
      <c r="J16" s="3"/>
      <c r="K16" s="3"/>
      <c r="L16" s="3">
        <v>100</v>
      </c>
      <c r="M16" s="3"/>
      <c r="N16" s="3"/>
      <c r="O16" s="3"/>
      <c r="P16" s="3">
        <v>100</v>
      </c>
      <c r="Q16" s="3"/>
      <c r="R16" s="3"/>
      <c r="S16" s="3"/>
      <c r="T16" s="3"/>
      <c r="U16" s="3">
        <f t="shared" si="0"/>
        <v>250</v>
      </c>
      <c r="V16" s="3"/>
    </row>
    <row r="17" spans="1:22">
      <c r="A17" s="3">
        <v>14</v>
      </c>
      <c r="B17" s="7" t="s">
        <v>46</v>
      </c>
      <c r="C17" s="12"/>
      <c r="D17" s="11"/>
      <c r="E17" s="11"/>
      <c r="F17" s="3"/>
      <c r="G17" s="3"/>
      <c r="H17" s="3">
        <v>50</v>
      </c>
      <c r="I17" s="3"/>
      <c r="J17" s="3"/>
      <c r="K17" s="3"/>
      <c r="L17" s="3">
        <v>100</v>
      </c>
      <c r="M17" s="3"/>
      <c r="N17" s="3"/>
      <c r="O17" s="3"/>
      <c r="P17" s="3">
        <v>100</v>
      </c>
      <c r="Q17" s="3"/>
      <c r="R17" s="3"/>
      <c r="S17" s="3"/>
      <c r="T17" s="3"/>
      <c r="U17" s="3">
        <f t="shared" si="0"/>
        <v>250</v>
      </c>
      <c r="V17" s="3"/>
    </row>
    <row r="18" hidden="1" spans="1:22">
      <c r="A18" s="3">
        <v>15</v>
      </c>
      <c r="B18" s="7"/>
      <c r="C18" s="8"/>
      <c r="D18" s="9"/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100</v>
      </c>
      <c r="Q18" s="3"/>
      <c r="R18" s="3"/>
      <c r="S18" s="3"/>
      <c r="T18" s="3"/>
      <c r="U18" s="3">
        <f t="shared" si="0"/>
        <v>100</v>
      </c>
      <c r="V18" s="3"/>
    </row>
    <row r="19" hidden="1" spans="1:22">
      <c r="A19" s="3">
        <v>16</v>
      </c>
      <c r="B19" s="7"/>
      <c r="C19" s="8"/>
      <c r="D19" s="9"/>
      <c r="E19" s="17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100</v>
      </c>
      <c r="Q19" s="3"/>
      <c r="R19" s="3"/>
      <c r="S19" s="3"/>
      <c r="T19" s="3"/>
      <c r="U19" s="3">
        <f t="shared" si="0"/>
        <v>100</v>
      </c>
      <c r="V19" s="3"/>
    </row>
    <row r="20" hidden="1" spans="1:22">
      <c r="A20" s="3">
        <v>17</v>
      </c>
      <c r="B20" s="7"/>
      <c r="C20" s="8"/>
      <c r="D20" s="9"/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100</v>
      </c>
      <c r="Q20" s="3"/>
      <c r="R20" s="3"/>
      <c r="S20" s="3"/>
      <c r="T20" s="3"/>
      <c r="U20" s="3">
        <f t="shared" si="0"/>
        <v>100</v>
      </c>
      <c r="V20" s="3"/>
    </row>
    <row r="21" hidden="1" spans="1:22">
      <c r="A21" s="3">
        <v>18</v>
      </c>
      <c r="B21" s="7" t="s">
        <v>47</v>
      </c>
      <c r="C21" s="8"/>
      <c r="D21" s="9"/>
      <c r="E21" s="17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100</v>
      </c>
      <c r="Q21" s="3"/>
      <c r="R21" s="3"/>
      <c r="S21" s="3"/>
      <c r="T21" s="3"/>
      <c r="U21" s="3">
        <f t="shared" si="0"/>
        <v>100</v>
      </c>
      <c r="V21" s="3"/>
    </row>
    <row r="22" hidden="1" spans="1:22">
      <c r="A22" s="3">
        <v>19</v>
      </c>
      <c r="B22" s="7" t="s">
        <v>48</v>
      </c>
      <c r="C22" s="8"/>
      <c r="D22" s="9"/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v>100</v>
      </c>
      <c r="Q22" s="3"/>
      <c r="R22" s="3"/>
      <c r="S22" s="3"/>
      <c r="T22" s="3"/>
      <c r="U22" s="3">
        <f t="shared" si="0"/>
        <v>100</v>
      </c>
      <c r="V22" s="3"/>
    </row>
    <row r="23" ht="61" spans="1:22">
      <c r="A23" s="3">
        <v>20</v>
      </c>
      <c r="B23" s="7" t="s">
        <v>49</v>
      </c>
      <c r="C23" s="12" t="s">
        <v>50</v>
      </c>
      <c r="D23" s="11" t="s">
        <v>51</v>
      </c>
      <c r="E23" s="11" t="s">
        <v>52</v>
      </c>
      <c r="F23" s="3"/>
      <c r="G23" s="3">
        <v>50</v>
      </c>
      <c r="H23" s="3"/>
      <c r="I23" s="3"/>
      <c r="J23" s="3"/>
      <c r="K23" s="3">
        <v>100</v>
      </c>
      <c r="L23" s="3"/>
      <c r="M23" s="3"/>
      <c r="N23" s="3"/>
      <c r="O23" s="3">
        <v>100</v>
      </c>
      <c r="P23" s="3"/>
      <c r="Q23" s="3"/>
      <c r="R23" s="3"/>
      <c r="S23" s="3"/>
      <c r="T23" s="3"/>
      <c r="U23" s="3">
        <f t="shared" si="0"/>
        <v>250</v>
      </c>
      <c r="V23" s="3"/>
    </row>
    <row r="24" spans="1:22">
      <c r="A24" s="3">
        <v>21</v>
      </c>
      <c r="B24" s="7" t="s">
        <v>53</v>
      </c>
      <c r="C24" s="12" t="s">
        <v>54</v>
      </c>
      <c r="D24" s="11" t="s">
        <v>55</v>
      </c>
      <c r="E24" s="11" t="s">
        <v>56</v>
      </c>
      <c r="F24" s="3"/>
      <c r="G24" s="3"/>
      <c r="H24" s="3">
        <v>50</v>
      </c>
      <c r="I24" s="3"/>
      <c r="J24" s="3"/>
      <c r="K24" s="3"/>
      <c r="L24" s="3">
        <v>100</v>
      </c>
      <c r="M24" s="3"/>
      <c r="N24" s="3"/>
      <c r="O24" s="3"/>
      <c r="P24" s="3">
        <v>100</v>
      </c>
      <c r="Q24" s="3"/>
      <c r="R24" s="3"/>
      <c r="S24" s="3"/>
      <c r="T24" s="3"/>
      <c r="U24" s="3">
        <f t="shared" si="0"/>
        <v>250</v>
      </c>
      <c r="V24" s="3"/>
    </row>
    <row r="25" spans="1:22">
      <c r="A25" s="3">
        <v>22</v>
      </c>
      <c r="B25" s="7" t="s">
        <v>57</v>
      </c>
      <c r="C25" s="12"/>
      <c r="D25" s="11"/>
      <c r="E25" s="11"/>
      <c r="F25" s="3"/>
      <c r="G25" s="3"/>
      <c r="H25" s="3">
        <v>50</v>
      </c>
      <c r="I25" s="3"/>
      <c r="J25" s="3"/>
      <c r="K25" s="3"/>
      <c r="L25" s="3">
        <v>100</v>
      </c>
      <c r="M25" s="3"/>
      <c r="N25" s="3"/>
      <c r="O25" s="3"/>
      <c r="P25" s="3">
        <v>100</v>
      </c>
      <c r="Q25" s="3"/>
      <c r="R25" s="3"/>
      <c r="S25" s="3"/>
      <c r="T25" s="3"/>
      <c r="U25" s="3">
        <f t="shared" si="0"/>
        <v>250</v>
      </c>
      <c r="V25" s="3"/>
    </row>
    <row r="26" ht="152" hidden="1" spans="1:22">
      <c r="A26" s="3">
        <v>23</v>
      </c>
      <c r="B26" s="7" t="s">
        <v>58</v>
      </c>
      <c r="C26" s="8" t="s">
        <v>59</v>
      </c>
      <c r="D26" s="9" t="s">
        <v>60</v>
      </c>
      <c r="E26" s="17" t="s">
        <v>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f t="shared" si="0"/>
        <v>0</v>
      </c>
      <c r="V26" s="3"/>
    </row>
    <row r="27" ht="76" spans="1:22">
      <c r="A27" s="3">
        <v>24</v>
      </c>
      <c r="B27" s="7" t="s">
        <v>62</v>
      </c>
      <c r="C27" s="8" t="s">
        <v>63</v>
      </c>
      <c r="D27" s="9" t="s">
        <v>64</v>
      </c>
      <c r="E27" s="17" t="s">
        <v>65</v>
      </c>
      <c r="F27" s="3"/>
      <c r="G27" s="3"/>
      <c r="H27" s="3"/>
      <c r="I27" s="3">
        <v>50</v>
      </c>
      <c r="J27" s="3"/>
      <c r="K27" s="3"/>
      <c r="L27" s="3"/>
      <c r="M27" s="3">
        <v>100</v>
      </c>
      <c r="N27" s="3"/>
      <c r="O27" s="3"/>
      <c r="P27" s="3"/>
      <c r="Q27" s="3">
        <v>100</v>
      </c>
      <c r="R27" s="3"/>
      <c r="S27" s="3"/>
      <c r="T27" s="3"/>
      <c r="U27" s="3">
        <f t="shared" si="0"/>
        <v>250</v>
      </c>
      <c r="V27" s="3"/>
    </row>
    <row r="28" spans="1:22">
      <c r="A28" s="3"/>
      <c r="B28" s="3" t="s">
        <v>66</v>
      </c>
      <c r="C28" s="3"/>
      <c r="D28" s="3"/>
      <c r="E28" s="3"/>
      <c r="F28" s="14">
        <f>SUM(F4:I27)</f>
        <v>830</v>
      </c>
      <c r="G28" s="14"/>
      <c r="H28" s="14"/>
      <c r="I28" s="14"/>
      <c r="J28" s="14">
        <f>SUM(J4:M27)</f>
        <v>1970</v>
      </c>
      <c r="K28" s="14"/>
      <c r="L28" s="14"/>
      <c r="M28" s="14"/>
      <c r="N28" s="14">
        <f>SUM(N4:Q27)</f>
        <v>1950</v>
      </c>
      <c r="O28" s="14"/>
      <c r="P28" s="14"/>
      <c r="Q28" s="14"/>
      <c r="R28" s="3"/>
      <c r="S28" s="3"/>
      <c r="T28" s="3"/>
      <c r="U28" s="3">
        <f>SUM(U4:U27)</f>
        <v>4750</v>
      </c>
      <c r="V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</sheetData>
  <mergeCells count="16">
    <mergeCell ref="A1:V1"/>
    <mergeCell ref="F2:I2"/>
    <mergeCell ref="J2:M2"/>
    <mergeCell ref="N2:Q2"/>
    <mergeCell ref="F28:I28"/>
    <mergeCell ref="J28:M28"/>
    <mergeCell ref="N28:Q28"/>
    <mergeCell ref="C5:C10"/>
    <mergeCell ref="C11:C17"/>
    <mergeCell ref="C24:C25"/>
    <mergeCell ref="D6:D9"/>
    <mergeCell ref="D12:D17"/>
    <mergeCell ref="D24:D25"/>
    <mergeCell ref="E6:E9"/>
    <mergeCell ref="E12:E17"/>
    <mergeCell ref="E24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</dc:creator>
  <cp:lastModifiedBy>王元</cp:lastModifiedBy>
  <dcterms:created xsi:type="dcterms:W3CDTF">2026-01-16T11:03:00Z</dcterms:created>
  <dcterms:modified xsi:type="dcterms:W3CDTF">2026-02-03T16:47:03Z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A352FEDACD83C2C407B68169985C5442_43</vt:lpwstr>
  </property>
  <property fmtid="{D5CDD505-2E9C-101B-9397-08002B2CF9AE}" pid="3" name="KSOProductBuildVer">
    <vt:lpwstr>2052-7.3.0.8966</vt:lpwstr>
  </property>
  <property fmtid="{D5CDD505-2E9C-101B-9397-08002B2CF9AE}" pid="4" name="CalculationRule">
    <vt:i4>1</vt:i4>
  </property>
</Properties>
</file>