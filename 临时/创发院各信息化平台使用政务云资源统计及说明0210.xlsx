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 activeTab="1"/>
  </bookViews>
  <sheets>
    <sheet name="原始" sheetId="1" r:id="rId1"/>
    <sheet name="Sheet1" sheetId="2" r:id="rId2"/>
    <sheet name="Sheet2" sheetId="3" r:id="rId3"/>
  </sheets>
  <externalReferences>
    <externalReference r:id="rId4"/>
  </externalReferences>
  <definedNames>
    <definedName name="_xlnm._FilterDatabase" localSheetId="0" hidden="1">原始!$A$2:$AC$65</definedName>
    <definedName name="_xlnm._FilterDatabase" localSheetId="1" hidden="1">Sheet1!$D$2:$D$65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<sst xmlns="http://schemas.openxmlformats.org/spreadsheetml/2006/main" count="692" uniqueCount="147">
  <si>
    <t>平台</t>
  </si>
  <si>
    <t>资源名称</t>
  </si>
  <si>
    <t>配置</t>
  </si>
  <si>
    <t>存储备注</t>
  </si>
  <si>
    <t>数量</t>
  </si>
  <si>
    <t>具体IP</t>
  </si>
  <si>
    <t>备注</t>
  </si>
  <si>
    <t>审批配置</t>
  </si>
  <si>
    <t>交付配置</t>
  </si>
  <si>
    <t>8月1日-8月31日云资源情况</t>
  </si>
  <si>
    <t>cpu(核)</t>
  </si>
  <si>
    <t>内存（GB）</t>
  </si>
  <si>
    <t>存储（GB）</t>
  </si>
  <si>
    <t>CPU</t>
  </si>
  <si>
    <t>内存</t>
  </si>
  <si>
    <t>存储</t>
  </si>
  <si>
    <t>CPU是否匹配</t>
  </si>
  <si>
    <t>内存是否匹配</t>
  </si>
  <si>
    <t>存储是否匹配</t>
  </si>
  <si>
    <t>需缩容</t>
  </si>
  <si>
    <t>vCPU使用率峰值(%)</t>
  </si>
  <si>
    <t>vCPU使用率平均值(%)</t>
  </si>
  <si>
    <t>内存使用率峰值(%)</t>
  </si>
  <si>
    <t>内存使用率平均值(%)</t>
  </si>
  <si>
    <t>磁盘使用率峰值(%)</t>
  </si>
  <si>
    <t>磁盘使用率平均值(%)</t>
  </si>
  <si>
    <r>
      <rPr>
        <b/>
        <sz val="10"/>
        <color indexed="8"/>
        <rFont val="宋体"/>
        <charset val="134"/>
      </rPr>
      <t>目前磁盘用量</t>
    </r>
    <r>
      <rPr>
        <b/>
        <sz val="10"/>
        <color rgb="FF000000"/>
        <rFont val="微软雅黑"/>
        <charset val="134"/>
      </rPr>
      <t>（</t>
    </r>
    <r>
      <rPr>
        <b/>
        <sz val="10"/>
        <color indexed="8"/>
        <rFont val="Calibri"/>
        <charset val="134"/>
      </rPr>
      <t>GB</t>
    </r>
    <r>
      <rPr>
        <b/>
        <sz val="10"/>
        <color rgb="FF000000"/>
        <rFont val="微软雅黑"/>
        <charset val="134"/>
      </rPr>
      <t>）</t>
    </r>
  </si>
  <si>
    <r>
      <rPr>
        <b/>
        <sz val="10"/>
        <color indexed="8"/>
        <rFont val="宋体"/>
        <charset val="134"/>
      </rPr>
      <t>对应</t>
    </r>
    <r>
      <rPr>
        <b/>
        <sz val="10"/>
        <color rgb="FF000000"/>
        <rFont val="微软雅黑"/>
        <charset val="134"/>
      </rPr>
      <t>审批单</t>
    </r>
    <r>
      <rPr>
        <b/>
        <sz val="10"/>
        <color indexed="8"/>
        <rFont val="宋体"/>
        <charset val="134"/>
      </rPr>
      <t>利用率</t>
    </r>
  </si>
  <si>
    <t>黄河流域科技大市场平台</t>
  </si>
  <si>
    <t>国产服务器</t>
  </si>
  <si>
    <t>40+500</t>
  </si>
  <si>
    <t>192.168.133.45</t>
  </si>
  <si>
    <t>科技大市场Elasticsearch，Logstash 和Kibana 集群</t>
  </si>
  <si>
    <t>8+32/40+500</t>
  </si>
  <si>
    <t>192.168.133.48</t>
  </si>
  <si>
    <t>192.168.133.39</t>
  </si>
  <si>
    <t>192.168.133.49</t>
  </si>
  <si>
    <t>192.168.133.41</t>
  </si>
  <si>
    <t>192.168.133.42</t>
  </si>
  <si>
    <t>192.168.133.43</t>
  </si>
  <si>
    <t>192.168.133.44</t>
  </si>
  <si>
    <t>192.168.133.119</t>
  </si>
  <si>
    <t>容器节点服务器</t>
  </si>
  <si>
    <t>8+32/300</t>
  </si>
  <si>
    <t>192.168.133.122</t>
  </si>
  <si>
    <t>192.168.133.124</t>
  </si>
  <si>
    <t>192.168.133.129</t>
  </si>
  <si>
    <t>192.168.133.150</t>
  </si>
  <si>
    <t>192.168.133.101</t>
  </si>
  <si>
    <t>192.168.133.162</t>
  </si>
  <si>
    <t>192.168.133.164</t>
  </si>
  <si>
    <t>192.168.133.172</t>
  </si>
  <si>
    <t>192.168.133.178</t>
  </si>
  <si>
    <t>192.168.133.181</t>
  </si>
  <si>
    <t>192.168.133.234</t>
  </si>
  <si>
    <t>40+100</t>
  </si>
  <si>
    <t>192.168.133.63</t>
  </si>
  <si>
    <t>数字人服务端</t>
  </si>
  <si>
    <t>8+32/40+100</t>
  </si>
  <si>
    <t>192.168.133.64</t>
  </si>
  <si>
    <t>192.168.133.58</t>
  </si>
  <si>
    <t>192.168.133.56</t>
  </si>
  <si>
    <t>元宇宙服务端</t>
  </si>
  <si>
    <t>192.168.133.53</t>
  </si>
  <si>
    <t>192.168.133.52</t>
  </si>
  <si>
    <t>40+200</t>
  </si>
  <si>
    <t>192.168.133.57</t>
  </si>
  <si>
    <t>系统盘40G，数据盘200G
数字人tts 和asr 服务</t>
  </si>
  <si>
    <t>16+32/40+200</t>
  </si>
  <si>
    <t>192.168.133.59</t>
  </si>
  <si>
    <t>192.168.133.68</t>
  </si>
  <si>
    <t>AI 机器学习数字人智能问答</t>
  </si>
  <si>
    <t>16+64/40+500</t>
  </si>
  <si>
    <r>
      <rPr>
        <sz val="11"/>
        <color theme="1"/>
        <rFont val="等线"/>
        <charset val="134"/>
        <scheme val="minor"/>
      </rPr>
      <t>40+</t>
    </r>
    <r>
      <rPr>
        <b/>
        <sz val="11"/>
        <color theme="1"/>
        <rFont val="等线"/>
        <charset val="134"/>
        <scheme val="minor"/>
      </rPr>
      <t>500</t>
    </r>
  </si>
  <si>
    <t>500SAS</t>
  </si>
  <si>
    <t>192.168.133.69</t>
  </si>
  <si>
    <t>数据模型（大模型）</t>
  </si>
  <si>
    <t>数据库</t>
  </si>
  <si>
    <t>192.168.133.38</t>
  </si>
  <si>
    <t>数据文件采集</t>
  </si>
  <si>
    <t>4+16/300</t>
  </si>
  <si>
    <t>192.168.133.175</t>
  </si>
  <si>
    <t>192.168.133.155</t>
  </si>
  <si>
    <t>192.168.133.82</t>
  </si>
  <si>
    <t>科技大市场数据库3 例
科技统计全流程数据库3 例</t>
  </si>
  <si>
    <t>8+16/500</t>
  </si>
  <si>
    <t>192.168.133.86</t>
  </si>
  <si>
    <t>192.168.133.79</t>
  </si>
  <si>
    <t>192.168.133.76</t>
  </si>
  <si>
    <t>192.168.133.47</t>
  </si>
  <si>
    <t>192.168.133.37</t>
  </si>
  <si>
    <t>科技统计数据服务平台</t>
  </si>
  <si>
    <t>10.0.133.133</t>
  </si>
  <si>
    <t>前置服务器</t>
  </si>
  <si>
    <t>4+8/40+40</t>
  </si>
  <si>
    <t>40+40</t>
  </si>
  <si>
    <t>10.0.133.233</t>
  </si>
  <si>
    <t>192.168.133.6</t>
  </si>
  <si>
    <t>门户NG 服务器</t>
  </si>
  <si>
    <t>192.168.133.15</t>
  </si>
  <si>
    <t>40+60</t>
  </si>
  <si>
    <t>192.168.133.225</t>
  </si>
  <si>
    <t>数据中台服务器</t>
  </si>
  <si>
    <t>8+16/40+60</t>
  </si>
  <si>
    <t>192.168.133.231</t>
  </si>
  <si>
    <t>192.168.133.247</t>
  </si>
  <si>
    <t>192.168.133.110</t>
  </si>
  <si>
    <t>192.168.133.182</t>
  </si>
  <si>
    <t>192.168.133.10</t>
  </si>
  <si>
    <t>科技大市场Redis集群</t>
  </si>
  <si>
    <t>8+16/40+100</t>
  </si>
  <si>
    <t>192.168.133.12</t>
  </si>
  <si>
    <t>192.168.133.13</t>
  </si>
  <si>
    <t>192.168.133.4</t>
  </si>
  <si>
    <t>Nacos、Rabbitmq 服务器</t>
  </si>
  <si>
    <t>8+16/40+200</t>
  </si>
  <si>
    <t>192.168.133.11</t>
  </si>
  <si>
    <r>
      <rPr>
        <sz val="11"/>
        <color theme="1"/>
        <rFont val="等线"/>
        <charset val="134"/>
        <scheme val="minor"/>
      </rPr>
      <t>40+</t>
    </r>
    <r>
      <rPr>
        <b/>
        <sz val="11"/>
        <color theme="1"/>
        <rFont val="等线"/>
        <charset val="134"/>
        <scheme val="minor"/>
      </rPr>
      <t>1000</t>
    </r>
  </si>
  <si>
    <t>SSD</t>
  </si>
  <si>
    <t>192.168.133.84</t>
  </si>
  <si>
    <t>数据仓库</t>
  </si>
  <si>
    <t>8+16/40+1000</t>
  </si>
  <si>
    <t>40+1000</t>
  </si>
  <si>
    <t>192.168.133.85</t>
  </si>
  <si>
    <t>192.168.133.50</t>
  </si>
  <si>
    <t>192.168.133.31</t>
  </si>
  <si>
    <t>数据文件采集数据库</t>
  </si>
  <si>
    <t>192.168.133.5</t>
  </si>
  <si>
    <t>数据中台数据库、科技大市场skywalking+docker build images</t>
  </si>
  <si>
    <t>8+16/300</t>
  </si>
  <si>
    <t>科技项目全过程管理服务平台</t>
  </si>
  <si>
    <t>服务器</t>
  </si>
  <si>
    <t>192.168.133.40</t>
  </si>
  <si>
    <t>192.168.133.46</t>
  </si>
  <si>
    <t>SAS</t>
  </si>
  <si>
    <t>192.168.133.73</t>
  </si>
  <si>
    <t>瀚高数据库</t>
  </si>
  <si>
    <t>192.168.133.81</t>
  </si>
  <si>
    <t>192.168.133.78</t>
  </si>
  <si>
    <t>说明：</t>
  </si>
  <si>
    <t>现院各信息平台使用政务云资源共63台，其中24台仍由电信管理，未交付我团队管理。如需要统一管理，我团队需要最基本的系统账号及密码信息</t>
  </si>
  <si>
    <t>归属</t>
  </si>
  <si>
    <t>账号</t>
  </si>
  <si>
    <t>密码</t>
  </si>
  <si>
    <t>博士</t>
  </si>
  <si>
    <t>电信</t>
  </si>
  <si>
    <t>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</si>
</sst>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1"/>
      <color theme="1"/>
      <name val="等线"/>
      <charset val="134"/>
      <scheme val="minor"/>
    </font>
    <font>
      <b/>
      <sz val="14"/>
      <color theme="1"/>
      <name val="黑体"/>
      <charset val="134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color indexed="8"/>
      <name val="Calibri"/>
      <charset val="134"/>
    </font>
    <font>
      <b/>
      <sz val="10"/>
      <color indexed="8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indexed="8"/>
      <name val="宋体"/>
      <charset val="134"/>
    </font>
    <font>
      <b/>
      <sz val="10"/>
      <color rgb="FF000000"/>
      <name val="微软雅黑"/>
      <charset val="134"/>
    </font>
    <font>
      <b/>
      <sz val="10"/>
      <color rgb="FF00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9" borderId="11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6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0" fillId="4" borderId="3" xfId="0" applyFill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0" fillId="4" borderId="3" xfId="0" applyFill="1" applyBorder="1" applyAlignment="1">
      <alignment vertical="center"/>
    </xf>
    <xf numFmtId="49" fontId="8" fillId="5" borderId="3" xfId="0" applyNumberFormat="1" applyFont="1" applyFill="1" applyBorder="1" applyAlignment="1">
      <alignment horizontal="center" vertical="center" wrapText="1"/>
    </xf>
    <xf numFmtId="49" fontId="9" fillId="5" borderId="3" xfId="0" applyNumberFormat="1" applyFont="1" applyFill="1" applyBorder="1" applyAlignment="1">
      <alignment horizontal="center" vertical="center" wrapText="1"/>
    </xf>
    <xf numFmtId="10" fontId="0" fillId="0" borderId="3" xfId="0" applyNumberFormat="1" applyBorder="1" applyAlignment="1">
      <alignment vertical="center"/>
    </xf>
    <xf numFmtId="10" fontId="0" fillId="6" borderId="3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1338;&#22763;&#31185;&#25216;/&#24037;&#20316;&#31354;&#38388;/&#23665;&#19996;&#39033;&#30446;/&#31185;&#25216;&#21381;&#32852;&#36890;&#20113;&#36164;&#28304;&#23545;&#29031;&#24773;&#2091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对账"/>
      <sheetName val="Sheet2"/>
      <sheetName val="Sheet1"/>
      <sheetName val="Sheet1 (2)"/>
      <sheetName val="Sheet3"/>
    </sheetNames>
    <sheetDataSet>
      <sheetData sheetId="0"/>
      <sheetData sheetId="1"/>
      <sheetData sheetId="2"/>
      <sheetData sheetId="3"/>
      <sheetData sheetId="4">
        <row r="1">
          <cell r="A1" t="str">
            <v>虚机ip</v>
          </cell>
          <cell r="B1" t="str">
            <v>委办局名称</v>
          </cell>
          <cell r="C1" t="str">
            <v>系统名称</v>
          </cell>
          <cell r="D1" t="str">
            <v>创建时间</v>
          </cell>
          <cell r="E1" t="str">
            <v>可用区</v>
          </cell>
          <cell r="F1" t="str">
            <v>vCPU(核)</v>
          </cell>
          <cell r="G1" t="str">
            <v>内存(GB)</v>
          </cell>
          <cell r="H1" t="str">
            <v>存储(GB)</v>
          </cell>
          <cell r="I1" t="str">
            <v>vCPU使用率峰值(%)</v>
          </cell>
          <cell r="J1" t="str">
            <v>vCPU使用率平均值(%)</v>
          </cell>
          <cell r="K1" t="str">
            <v>内存使用率峰值(%)</v>
          </cell>
          <cell r="L1" t="str">
            <v>内存使用率平均值(%)</v>
          </cell>
          <cell r="M1" t="str">
            <v>磁盘使用率峰值(%)</v>
          </cell>
          <cell r="N1" t="str">
            <v>磁盘使用率平均值(%)</v>
          </cell>
        </row>
        <row r="2">
          <cell r="A2" t="str">
            <v>192.168.133.37</v>
          </cell>
          <cell r="B2" t="str">
            <v>科技厅</v>
          </cell>
          <cell r="C2" t="str">
            <v>创新发展研究院支撑创新发展科技服务</v>
          </cell>
          <cell r="D2" t="str">
            <v>2024-03-21 16:08:18</v>
          </cell>
          <cell r="E2" t="str">
            <v>cn-east-220a</v>
          </cell>
          <cell r="F2" t="str">
            <v>8</v>
          </cell>
          <cell r="G2" t="str">
            <v>16.0</v>
          </cell>
          <cell r="H2" t="str">
            <v>1000</v>
          </cell>
          <cell r="I2">
            <v>26.56</v>
          </cell>
          <cell r="J2">
            <v>25.6775</v>
          </cell>
          <cell r="K2">
            <v>76.34</v>
          </cell>
          <cell r="L2">
            <v>75.9475</v>
          </cell>
          <cell r="M2">
            <v>36.4929</v>
          </cell>
          <cell r="N2">
            <v>36.4541</v>
          </cell>
        </row>
        <row r="3">
          <cell r="A3" t="str">
            <v>192.168.133.53</v>
          </cell>
          <cell r="B3" t="str">
            <v>科技厅</v>
          </cell>
          <cell r="C3" t="str">
            <v>创新发展研究院支撑创新发展科技服务</v>
          </cell>
          <cell r="D3" t="str">
            <v>2024-03-21 16:15:17</v>
          </cell>
          <cell r="E3" t="str">
            <v>cn-east-220a</v>
          </cell>
          <cell r="F3" t="str">
            <v>8</v>
          </cell>
          <cell r="G3" t="str">
            <v>32.0</v>
          </cell>
          <cell r="H3" t="str">
            <v>140</v>
          </cell>
          <cell r="I3">
            <v>38.94</v>
          </cell>
          <cell r="J3">
            <v>38.91</v>
          </cell>
          <cell r="K3">
            <v>18.46</v>
          </cell>
          <cell r="L3">
            <v>18.39</v>
          </cell>
          <cell r="M3">
            <v>30.3892</v>
          </cell>
          <cell r="N3">
            <v>30.3749</v>
          </cell>
        </row>
        <row r="4">
          <cell r="A4" t="str">
            <v>10.0.146.3</v>
          </cell>
          <cell r="B4" t="str">
            <v>山东省科技厅</v>
          </cell>
          <cell r="C4" t="str">
            <v>用于部署短信应用</v>
          </cell>
          <cell r="D4" t="str">
            <v>2024-04-26 10:17:46</v>
          </cell>
          <cell r="E4" t="str">
            <v>cn-east-264a</v>
          </cell>
          <cell r="F4" t="str">
            <v>16</v>
          </cell>
          <cell r="G4" t="str">
            <v>64.0</v>
          </cell>
          <cell r="H4" t="str">
            <v>640</v>
          </cell>
          <cell r="I4">
            <v>33.0317</v>
          </cell>
          <cell r="J4">
            <v>26.7329</v>
          </cell>
          <cell r="K4">
            <v>93.99</v>
          </cell>
          <cell r="L4">
            <v>92.525</v>
          </cell>
          <cell r="M4">
            <v>4.8675</v>
          </cell>
          <cell r="N4">
            <v>4.8442</v>
          </cell>
        </row>
        <row r="5">
          <cell r="A5" t="str">
            <v>192.168.133.100</v>
          </cell>
          <cell r="B5" t="str">
            <v>山东省科技厅</v>
          </cell>
          <cell r="C5" t="str">
            <v>加解密服务</v>
          </cell>
          <cell r="D5" t="str">
            <v>2024-08-07 15:24:31</v>
          </cell>
          <cell r="E5" t="str">
            <v>cn-east-220a</v>
          </cell>
          <cell r="F5" t="str">
            <v>4</v>
          </cell>
          <cell r="G5" t="str">
            <v>8.0</v>
          </cell>
          <cell r="H5" t="str">
            <v>100</v>
          </cell>
          <cell r="I5">
            <v>1.7911</v>
          </cell>
          <cell r="J5">
            <v>1.7629</v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</row>
        <row r="6">
          <cell r="A6" t="str">
            <v>192.168.133.10</v>
          </cell>
          <cell r="B6" t="str">
            <v>科技厅</v>
          </cell>
          <cell r="C6" t="str">
            <v>创新发展研究院支撑创新发展科技服务</v>
          </cell>
          <cell r="D6" t="str">
            <v>2024-03-21 11:51:12</v>
          </cell>
          <cell r="E6" t="str">
            <v>cn-east-220a</v>
          </cell>
          <cell r="F6" t="str">
            <v>8</v>
          </cell>
          <cell r="G6" t="str">
            <v>16.0</v>
          </cell>
          <cell r="H6" t="str">
            <v>340</v>
          </cell>
          <cell r="I6">
            <v>27.5208</v>
          </cell>
          <cell r="J6">
            <v>27.3894</v>
          </cell>
          <cell r="K6">
            <v>74.66</v>
          </cell>
          <cell r="L6">
            <v>74.6475</v>
          </cell>
          <cell r="M6">
            <v>51.0564</v>
          </cell>
          <cell r="N6">
            <v>50.9449</v>
          </cell>
        </row>
        <row r="7">
          <cell r="A7" t="str">
            <v>192.168.133.15</v>
          </cell>
          <cell r="B7" t="str">
            <v>科技厅</v>
          </cell>
          <cell r="C7" t="str">
            <v>创新发展研究院支撑创新发展科技服务</v>
          </cell>
          <cell r="D7" t="str">
            <v>2024-03-21 11:51:12</v>
          </cell>
          <cell r="E7" t="str">
            <v>cn-east-220a</v>
          </cell>
          <cell r="F7" t="str">
            <v>4</v>
          </cell>
          <cell r="G7" t="str">
            <v>8.0</v>
          </cell>
          <cell r="H7" t="str">
            <v>280</v>
          </cell>
          <cell r="I7">
            <v>29.22</v>
          </cell>
          <cell r="J7">
            <v>28.975</v>
          </cell>
          <cell r="K7">
            <v>28.85</v>
          </cell>
          <cell r="L7">
            <v>28.6175</v>
          </cell>
          <cell r="M7">
            <v>25.1544</v>
          </cell>
          <cell r="N7">
            <v>25.0774</v>
          </cell>
        </row>
        <row r="8">
          <cell r="A8" t="str">
            <v>192.168.133.110</v>
          </cell>
          <cell r="B8" t="str">
            <v>科技厅</v>
          </cell>
          <cell r="C8" t="str">
            <v>测试资源</v>
          </cell>
          <cell r="D8" t="str">
            <v>2024-04-22 17:42:25</v>
          </cell>
          <cell r="E8" t="str">
            <v>cn-east-220a</v>
          </cell>
          <cell r="F8" t="str">
            <v>8</v>
          </cell>
          <cell r="G8" t="str">
            <v>16.0</v>
          </cell>
          <cell r="H8" t="str">
            <v>400</v>
          </cell>
          <cell r="I8">
            <v>1.29</v>
          </cell>
          <cell r="J8">
            <v>1.26</v>
          </cell>
          <cell r="K8">
            <v>51.24</v>
          </cell>
          <cell r="L8">
            <v>51.195</v>
          </cell>
          <cell r="M8">
            <v>6.3418</v>
          </cell>
          <cell r="N8">
            <v>6.3418</v>
          </cell>
        </row>
        <row r="9">
          <cell r="A9" t="str">
            <v>10.0.133.139</v>
          </cell>
          <cell r="B9" t="str">
            <v>山东省科技厅</v>
          </cell>
          <cell r="C9" t="str">
            <v>山东省大型科学仪器设备协作共用网</v>
          </cell>
          <cell r="D9" t="str">
            <v>2024-11-27 09:45:29</v>
          </cell>
          <cell r="E9" t="str">
            <v>cn-east-264a</v>
          </cell>
          <cell r="F9" t="str">
            <v>4</v>
          </cell>
          <cell r="G9" t="str">
            <v>16.0</v>
          </cell>
          <cell r="H9" t="str">
            <v>240</v>
          </cell>
          <cell r="I9">
            <v>46.6</v>
          </cell>
          <cell r="J9">
            <v>46.0075</v>
          </cell>
          <cell r="K9">
            <v>74.13</v>
          </cell>
          <cell r="L9">
            <v>73.6425</v>
          </cell>
          <cell r="M9">
            <v>43.7408</v>
          </cell>
          <cell r="N9">
            <v>42.7604</v>
          </cell>
        </row>
        <row r="10">
          <cell r="A10" t="str">
            <v>10.0.133.86</v>
          </cell>
          <cell r="B10" t="str">
            <v>山东省科技厅</v>
          </cell>
          <cell r="C10" t="str">
            <v>测试资源</v>
          </cell>
          <cell r="D10" t="str">
            <v>2024-04-22 18:10:08</v>
          </cell>
          <cell r="E10" t="str">
            <v>cn-east-264a</v>
          </cell>
          <cell r="F10" t="str">
            <v>16</v>
          </cell>
          <cell r="G10" t="str">
            <v>64.0</v>
          </cell>
          <cell r="H10" t="str">
            <v>340</v>
          </cell>
          <cell r="I10">
            <v>0.82</v>
          </cell>
          <cell r="J10">
            <v>0.755</v>
          </cell>
          <cell r="K10">
            <v>45.48</v>
          </cell>
          <cell r="L10">
            <v>45.4625</v>
          </cell>
          <cell r="M10">
            <v>14.0309</v>
          </cell>
          <cell r="N10">
            <v>14.0222</v>
          </cell>
        </row>
        <row r="11">
          <cell r="A11" t="str">
            <v>192.168.133.164</v>
          </cell>
          <cell r="B11" t="str">
            <v>科技厅</v>
          </cell>
          <cell r="C11" t="str">
            <v>创新发展研究院支撑创新发展科技服务</v>
          </cell>
          <cell r="D11" t="str">
            <v>2024-03-22 21:58:42</v>
          </cell>
          <cell r="E11" t="str">
            <v>cn-east-220a</v>
          </cell>
          <cell r="F11" t="str">
            <v>8</v>
          </cell>
          <cell r="G11" t="str">
            <v>32.0</v>
          </cell>
          <cell r="H11" t="str">
            <v>840</v>
          </cell>
          <cell r="I11">
            <v>62.1825</v>
          </cell>
          <cell r="J11">
            <v>54.2474</v>
          </cell>
          <cell r="K11">
            <v>44.17</v>
          </cell>
          <cell r="L11">
            <v>43.965</v>
          </cell>
          <cell r="M11">
            <v>35.3624</v>
          </cell>
          <cell r="N11">
            <v>35.2996</v>
          </cell>
        </row>
        <row r="12">
          <cell r="A12" t="str">
            <v>192.168.133.48</v>
          </cell>
          <cell r="B12" t="str">
            <v>科技厅</v>
          </cell>
          <cell r="C12" t="str">
            <v>创新发展研究院支撑创新发展科技服务</v>
          </cell>
          <cell r="D12" t="str">
            <v>2024-03-21 16:08:18</v>
          </cell>
          <cell r="E12" t="str">
            <v>cn-east-220a</v>
          </cell>
          <cell r="F12" t="str">
            <v>8</v>
          </cell>
          <cell r="G12" t="str">
            <v>32.0</v>
          </cell>
          <cell r="H12" t="str">
            <v>540</v>
          </cell>
          <cell r="I12">
            <v>25.27</v>
          </cell>
          <cell r="J12">
            <v>25.235</v>
          </cell>
          <cell r="K12">
            <v>67.08</v>
          </cell>
          <cell r="L12">
            <v>66.8225</v>
          </cell>
          <cell r="M12">
            <v>36.7929</v>
          </cell>
          <cell r="N12">
            <v>36.7573</v>
          </cell>
        </row>
        <row r="13">
          <cell r="A13" t="str">
            <v>192.168.133.41</v>
          </cell>
          <cell r="B13" t="str">
            <v>科技厅</v>
          </cell>
          <cell r="C13" t="str">
            <v>创新发展研究院支撑创新发展科技服务</v>
          </cell>
          <cell r="D13" t="str">
            <v>2024-03-21 16:08:18</v>
          </cell>
          <cell r="E13" t="str">
            <v>cn-east-220a</v>
          </cell>
          <cell r="F13" t="str">
            <v>8</v>
          </cell>
          <cell r="G13" t="str">
            <v>32.0</v>
          </cell>
          <cell r="H13" t="str">
            <v>540</v>
          </cell>
          <cell r="I13">
            <v>26.11</v>
          </cell>
          <cell r="J13">
            <v>25.5225</v>
          </cell>
          <cell r="K13">
            <v>71.88</v>
          </cell>
          <cell r="L13">
            <v>71.8525</v>
          </cell>
          <cell r="M13">
            <v>33.8309</v>
          </cell>
          <cell r="N13">
            <v>33.7733</v>
          </cell>
        </row>
        <row r="14">
          <cell r="A14" t="str">
            <v>192.168.133.78</v>
          </cell>
          <cell r="B14" t="str">
            <v>科技厅</v>
          </cell>
          <cell r="C14" t="str">
            <v>创新发展研究院支撑创新发展科技服务</v>
          </cell>
          <cell r="D14" t="str">
            <v>2024-03-21 17:26:44</v>
          </cell>
          <cell r="E14" t="str">
            <v>cn-east-220a</v>
          </cell>
          <cell r="F14" t="str">
            <v>8</v>
          </cell>
          <cell r="G14" t="str">
            <v>16.0</v>
          </cell>
          <cell r="H14" t="str">
            <v>640</v>
          </cell>
          <cell r="I14">
            <v>0.38</v>
          </cell>
          <cell r="J14">
            <v>0.345</v>
          </cell>
          <cell r="K14">
            <v>15.89</v>
          </cell>
          <cell r="L14">
            <v>15.8575</v>
          </cell>
          <cell r="M14">
            <v>10.1209</v>
          </cell>
          <cell r="N14">
            <v>10.0919</v>
          </cell>
        </row>
        <row r="15">
          <cell r="A15" t="str">
            <v>192.168.133.5</v>
          </cell>
          <cell r="B15" t="str">
            <v>科技厅</v>
          </cell>
          <cell r="C15" t="str">
            <v>创新发展研究院支撑创新发展科技服务</v>
          </cell>
          <cell r="D15" t="str">
            <v>2024-03-21 11:51:12</v>
          </cell>
          <cell r="E15" t="str">
            <v>cn-east-220a</v>
          </cell>
          <cell r="F15" t="str">
            <v>8</v>
          </cell>
          <cell r="G15" t="str">
            <v>16.0</v>
          </cell>
          <cell r="H15" t="str">
            <v>500</v>
          </cell>
          <cell r="I15">
            <v>29.4</v>
          </cell>
          <cell r="J15">
            <v>27.0414</v>
          </cell>
          <cell r="K15">
            <v>35.81</v>
          </cell>
          <cell r="L15">
            <v>35.6575</v>
          </cell>
          <cell r="M15">
            <v>51.4703</v>
          </cell>
          <cell r="N15">
            <v>51.217</v>
          </cell>
        </row>
        <row r="16">
          <cell r="A16" t="str">
            <v>192.168.133.58</v>
          </cell>
          <cell r="B16" t="str">
            <v>科技厅</v>
          </cell>
          <cell r="C16" t="str">
            <v>创新发展研究院支撑创新发展科技服务</v>
          </cell>
          <cell r="D16" t="str">
            <v>2024-03-21 16:18:37</v>
          </cell>
          <cell r="E16" t="str">
            <v>cn-east-220a</v>
          </cell>
          <cell r="F16" t="str">
            <v>8</v>
          </cell>
          <cell r="G16" t="str">
            <v>32.0</v>
          </cell>
          <cell r="H16" t="str">
            <v>340</v>
          </cell>
          <cell r="I16">
            <v>38.99</v>
          </cell>
          <cell r="J16">
            <v>38.9625</v>
          </cell>
          <cell r="K16">
            <v>17.4</v>
          </cell>
          <cell r="L16">
            <v>17.3175</v>
          </cell>
          <cell r="M16">
            <v>32.5386</v>
          </cell>
          <cell r="N16">
            <v>32.5358</v>
          </cell>
        </row>
        <row r="17">
          <cell r="A17" t="str">
            <v>192.168.133.85</v>
          </cell>
          <cell r="B17" t="str">
            <v>科技厅</v>
          </cell>
          <cell r="C17" t="str">
            <v>创新发展研究院支撑创新发展科技服务</v>
          </cell>
          <cell r="D17" t="str">
            <v>2024-03-21 17:26:43</v>
          </cell>
          <cell r="E17" t="str">
            <v>cn-east-220a</v>
          </cell>
          <cell r="F17" t="str">
            <v>8</v>
          </cell>
          <cell r="G17" t="str">
            <v>16.0</v>
          </cell>
          <cell r="H17" t="str">
            <v>1340</v>
          </cell>
          <cell r="I17">
            <v>0.88</v>
          </cell>
          <cell r="J17">
            <v>0.8325</v>
          </cell>
          <cell r="K17">
            <v>47.28</v>
          </cell>
          <cell r="L17">
            <v>47.1475</v>
          </cell>
          <cell r="M17">
            <v>46.298</v>
          </cell>
          <cell r="N17">
            <v>46.2905</v>
          </cell>
        </row>
        <row r="18">
          <cell r="A18" t="str">
            <v>10.0.146.5</v>
          </cell>
          <cell r="B18" t="str">
            <v>山东省科技厅</v>
          </cell>
          <cell r="C18" t="str">
            <v>用于部署短信数据库中间件</v>
          </cell>
          <cell r="D18" t="str">
            <v>2024-04-26 10:20:53</v>
          </cell>
          <cell r="E18" t="str">
            <v>cn-east-264a</v>
          </cell>
          <cell r="F18" t="str">
            <v>16</v>
          </cell>
          <cell r="G18" t="str">
            <v>64.0</v>
          </cell>
          <cell r="H18" t="str">
            <v>640</v>
          </cell>
          <cell r="I18">
            <v>7.42</v>
          </cell>
          <cell r="J18">
            <v>7.335</v>
          </cell>
          <cell r="K18">
            <v>94.3</v>
          </cell>
          <cell r="L18">
            <v>94.0825</v>
          </cell>
          <cell r="M18">
            <v>10.0251</v>
          </cell>
          <cell r="N18">
            <v>9.9579</v>
          </cell>
        </row>
        <row r="19">
          <cell r="A19" t="str">
            <v>10.0.133.218</v>
          </cell>
          <cell r="B19" t="str">
            <v>山东省科技厅</v>
          </cell>
          <cell r="C19" t="str">
            <v>山东省大型科研仪器开放共享平台</v>
          </cell>
          <cell r="D19" t="str">
            <v>2023-12-25 17:48:37</v>
          </cell>
          <cell r="E19" t="str">
            <v>cn-east-264a</v>
          </cell>
          <cell r="F19" t="str">
            <v>4</v>
          </cell>
          <cell r="G19" t="str">
            <v>8.0</v>
          </cell>
          <cell r="H19" t="str">
            <v>100</v>
          </cell>
          <cell r="I19">
            <v>77.54</v>
          </cell>
          <cell r="J19">
            <v>77.3575</v>
          </cell>
          <cell r="K19">
            <v>55.85</v>
          </cell>
          <cell r="L19">
            <v>55.7675</v>
          </cell>
          <cell r="M19">
            <v>73.1065</v>
          </cell>
          <cell r="N19">
            <v>72.8896</v>
          </cell>
        </row>
        <row r="20">
          <cell r="A20" t="str">
            <v>192.168.133.101</v>
          </cell>
          <cell r="B20" t="str">
            <v>科技厅</v>
          </cell>
          <cell r="C20" t="str">
            <v>创新发展研究院支撑创新发展科技服务</v>
          </cell>
          <cell r="D20" t="str">
            <v>2024-03-22 22:01:17</v>
          </cell>
          <cell r="E20" t="str">
            <v>cn-east-220a</v>
          </cell>
          <cell r="F20" t="str">
            <v>8</v>
          </cell>
          <cell r="G20" t="str">
            <v>32.0</v>
          </cell>
          <cell r="H20" t="str">
            <v>340</v>
          </cell>
          <cell r="I20">
            <v>26.21</v>
          </cell>
          <cell r="J20">
            <v>25.7313</v>
          </cell>
          <cell r="K20">
            <v>4.76</v>
          </cell>
          <cell r="L20">
            <v>4.7475</v>
          </cell>
          <cell r="M20">
            <v>61.9794</v>
          </cell>
          <cell r="N20">
            <v>61.8555</v>
          </cell>
        </row>
        <row r="21">
          <cell r="A21" t="str">
            <v>192.168.133.162</v>
          </cell>
          <cell r="B21" t="str">
            <v>科技厅</v>
          </cell>
          <cell r="C21" t="str">
            <v>创新发展研究院支撑创新发展科技服务</v>
          </cell>
          <cell r="D21" t="str">
            <v>2024-03-22 21:58:43</v>
          </cell>
          <cell r="E21" t="str">
            <v>cn-east-220a</v>
          </cell>
          <cell r="F21" t="str">
            <v>8</v>
          </cell>
          <cell r="G21" t="str">
            <v>32.0</v>
          </cell>
          <cell r="H21" t="str">
            <v>840</v>
          </cell>
          <cell r="I21">
            <v>43.4617</v>
          </cell>
          <cell r="J21">
            <v>35.1641</v>
          </cell>
          <cell r="K21">
            <v>40.68</v>
          </cell>
          <cell r="L21">
            <v>40.6575</v>
          </cell>
          <cell r="M21">
            <v>33.0152</v>
          </cell>
          <cell r="N21">
            <v>32.9154</v>
          </cell>
        </row>
        <row r="22">
          <cell r="A22" t="str">
            <v>192.168.133.178</v>
          </cell>
          <cell r="B22" t="str">
            <v>科技厅</v>
          </cell>
          <cell r="C22" t="str">
            <v>创新发展研究院支撑创新发展科技服务</v>
          </cell>
          <cell r="D22" t="str">
            <v>2024-03-22 21:58:43</v>
          </cell>
          <cell r="E22" t="str">
            <v>cn-east-220a</v>
          </cell>
          <cell r="F22" t="str">
            <v>8</v>
          </cell>
          <cell r="G22" t="str">
            <v>32.0</v>
          </cell>
          <cell r="H22" t="str">
            <v>840</v>
          </cell>
          <cell r="I22">
            <v>66.1981</v>
          </cell>
          <cell r="J22">
            <v>55.0591</v>
          </cell>
          <cell r="K22">
            <v>45.93</v>
          </cell>
          <cell r="L22">
            <v>43.1025</v>
          </cell>
          <cell r="M22">
            <v>31.197</v>
          </cell>
          <cell r="N22">
            <v>31.1496</v>
          </cell>
        </row>
        <row r="23">
          <cell r="A23" t="str">
            <v>10.0.133.22</v>
          </cell>
          <cell r="B23" t="str">
            <v>山东省科技厅</v>
          </cell>
          <cell r="C23" t="str">
            <v>山东省大型科学仪器设备协作共用网</v>
          </cell>
          <cell r="D23" t="str">
            <v>2025-04-01 10:31:12</v>
          </cell>
          <cell r="E23" t="str">
            <v>cn-east-264a</v>
          </cell>
          <cell r="F23" t="str">
            <v>4</v>
          </cell>
          <cell r="G23" t="str">
            <v>32.0</v>
          </cell>
          <cell r="H23" t="str">
            <v>3040</v>
          </cell>
          <cell r="I23">
            <v>64.12</v>
          </cell>
          <cell r="J23">
            <v>49.8825</v>
          </cell>
          <cell r="K23">
            <v>76.04</v>
          </cell>
          <cell r="L23">
            <v>75.8675</v>
          </cell>
          <cell r="M23">
            <v>13.122</v>
          </cell>
          <cell r="N23">
            <v>13.0613</v>
          </cell>
        </row>
        <row r="24">
          <cell r="A24" t="str">
            <v>10.0.133.133</v>
          </cell>
          <cell r="B24" t="str">
            <v>山东省科技厅</v>
          </cell>
          <cell r="C24" t="str">
            <v>创新发展研究院支撑创新发展科技服务</v>
          </cell>
          <cell r="D24" t="str">
            <v>2024-03-22 10:01:33</v>
          </cell>
          <cell r="E24" t="str">
            <v>cn-east-264a</v>
          </cell>
          <cell r="F24" t="str">
            <v>4</v>
          </cell>
          <cell r="G24" t="str">
            <v>8.0</v>
          </cell>
          <cell r="H24" t="str">
            <v>280</v>
          </cell>
          <cell r="I24">
            <v>26.24</v>
          </cell>
          <cell r="J24">
            <v>26.01</v>
          </cell>
          <cell r="K24">
            <v>21.1</v>
          </cell>
          <cell r="L24">
            <v>20.91</v>
          </cell>
          <cell r="M24">
            <v>55.7186</v>
          </cell>
          <cell r="N24">
            <v>55.6133</v>
          </cell>
        </row>
        <row r="25">
          <cell r="A25" t="str">
            <v>192.168.133.124</v>
          </cell>
          <cell r="B25" t="str">
            <v>科技厅</v>
          </cell>
          <cell r="C25" t="str">
            <v>创新发展研究院支撑创新发展科技服务</v>
          </cell>
          <cell r="D25" t="str">
            <v>2024-03-22 21:58:43</v>
          </cell>
          <cell r="E25" t="str">
            <v>cn-east-220a</v>
          </cell>
          <cell r="F25" t="str">
            <v>8</v>
          </cell>
          <cell r="G25" t="str">
            <v>32.0</v>
          </cell>
          <cell r="H25" t="str">
            <v>840</v>
          </cell>
          <cell r="I25">
            <v>53.91</v>
          </cell>
          <cell r="J25">
            <v>47.7327</v>
          </cell>
          <cell r="K25">
            <v>39.64</v>
          </cell>
          <cell r="L25">
            <v>37.6325</v>
          </cell>
          <cell r="M25">
            <v>30.9316</v>
          </cell>
          <cell r="N25">
            <v>30.8564</v>
          </cell>
        </row>
        <row r="26">
          <cell r="A26" t="str">
            <v>192.168.133.234</v>
          </cell>
          <cell r="B26" t="str">
            <v>科技厅</v>
          </cell>
          <cell r="C26" t="str">
            <v>创新发展研究院支撑创新发展科技服务</v>
          </cell>
          <cell r="D26" t="str">
            <v>2024-03-22 21:58:41</v>
          </cell>
          <cell r="E26" t="str">
            <v>cn-east-220a</v>
          </cell>
          <cell r="F26" t="str">
            <v>8</v>
          </cell>
          <cell r="G26" t="str">
            <v>32.0</v>
          </cell>
          <cell r="H26" t="str">
            <v>840</v>
          </cell>
          <cell r="I26">
            <v>53.297</v>
          </cell>
          <cell r="J26">
            <v>39.8485</v>
          </cell>
          <cell r="K26">
            <v>39.23</v>
          </cell>
          <cell r="L26">
            <v>39.145</v>
          </cell>
          <cell r="M26">
            <v>30.623</v>
          </cell>
          <cell r="N26">
            <v>30.5375</v>
          </cell>
        </row>
        <row r="27">
          <cell r="A27" t="str">
            <v>10.0.133.234</v>
          </cell>
          <cell r="B27" t="str">
            <v>山东省科技厅</v>
          </cell>
          <cell r="C27" t="str">
            <v>山东省大型科研仪器开放共享平台</v>
          </cell>
          <cell r="D27" t="str">
            <v>2023-12-25 17:48:37</v>
          </cell>
          <cell r="E27" t="str">
            <v>cn-east-264a</v>
          </cell>
          <cell r="F27" t="str">
            <v>8</v>
          </cell>
          <cell r="G27" t="str">
            <v>32.0</v>
          </cell>
          <cell r="H27" t="str">
            <v>100</v>
          </cell>
          <cell r="I27">
            <v>36.38</v>
          </cell>
          <cell r="J27">
            <v>21.725</v>
          </cell>
          <cell r="K27">
            <v>95.77</v>
          </cell>
          <cell r="L27">
            <v>93.8</v>
          </cell>
          <cell r="M27">
            <v>50.213</v>
          </cell>
          <cell r="N27">
            <v>49.3175</v>
          </cell>
        </row>
        <row r="28">
          <cell r="A28" t="str">
            <v>192.168.133.175</v>
          </cell>
          <cell r="B28" t="str">
            <v>科技厅</v>
          </cell>
          <cell r="C28" t="str">
            <v>测试资源</v>
          </cell>
          <cell r="D28" t="str">
            <v>2024-04-22 17:40:33</v>
          </cell>
          <cell r="E28" t="str">
            <v>cn-east-220a</v>
          </cell>
          <cell r="F28" t="str">
            <v>4</v>
          </cell>
          <cell r="G28" t="str">
            <v>16.0</v>
          </cell>
          <cell r="H28" t="str">
            <v>600</v>
          </cell>
          <cell r="I28">
            <v>11.55</v>
          </cell>
          <cell r="J28">
            <v>11.49</v>
          </cell>
          <cell r="K28">
            <v>48.51</v>
          </cell>
          <cell r="L28">
            <v>48.3025</v>
          </cell>
          <cell r="M28">
            <v>7.6895</v>
          </cell>
          <cell r="N28">
            <v>7.5315</v>
          </cell>
        </row>
        <row r="29">
          <cell r="A29" t="str">
            <v>192.168.133.76</v>
          </cell>
          <cell r="B29" t="str">
            <v>科技厅</v>
          </cell>
          <cell r="C29" t="str">
            <v>创新发展研究院支撑创新发展科技服务</v>
          </cell>
          <cell r="D29" t="str">
            <v>2024-03-21 17:26:43</v>
          </cell>
          <cell r="E29" t="str">
            <v>cn-east-220a</v>
          </cell>
          <cell r="F29" t="str">
            <v>8</v>
          </cell>
          <cell r="G29" t="str">
            <v>16.0</v>
          </cell>
          <cell r="H29" t="str">
            <v>840</v>
          </cell>
          <cell r="I29">
            <v>0.58</v>
          </cell>
          <cell r="J29">
            <v>0.5586</v>
          </cell>
          <cell r="K29">
            <v>46.94</v>
          </cell>
          <cell r="L29">
            <v>46.7875</v>
          </cell>
          <cell r="M29">
            <v>57.102</v>
          </cell>
          <cell r="N29">
            <v>57.0879</v>
          </cell>
        </row>
        <row r="30">
          <cell r="A30" t="str">
            <v>192.168.138.3</v>
          </cell>
          <cell r="B30" t="str">
            <v>山东省科技厅</v>
          </cell>
          <cell r="C30" t="str">
            <v>用于部署主备短信代理服务</v>
          </cell>
          <cell r="D30" t="str">
            <v>2024-04-26 09:53:10</v>
          </cell>
          <cell r="E30" t="str">
            <v>cn-east-220a</v>
          </cell>
          <cell r="F30" t="str">
            <v>8</v>
          </cell>
          <cell r="G30" t="str">
            <v>16.0</v>
          </cell>
          <cell r="H30" t="str">
            <v>240</v>
          </cell>
          <cell r="I30">
            <v>0.4</v>
          </cell>
          <cell r="J30">
            <v>0.3675</v>
          </cell>
          <cell r="K30">
            <v>52.84</v>
          </cell>
          <cell r="L30">
            <v>52.1525</v>
          </cell>
          <cell r="M30">
            <v>11.4708</v>
          </cell>
          <cell r="N30">
            <v>11.4495</v>
          </cell>
        </row>
        <row r="31">
          <cell r="A31" t="str">
            <v>192.168.133.225</v>
          </cell>
          <cell r="B31" t="str">
            <v>科技厅</v>
          </cell>
          <cell r="C31" t="str">
            <v>测试资源</v>
          </cell>
          <cell r="D31" t="str">
            <v>2024-04-22 17:42:26</v>
          </cell>
          <cell r="E31" t="str">
            <v>cn-east-220a</v>
          </cell>
          <cell r="F31" t="str">
            <v>8</v>
          </cell>
          <cell r="G31" t="str">
            <v>16.0</v>
          </cell>
          <cell r="H31" t="str">
            <v>400</v>
          </cell>
          <cell r="I31">
            <v>46.1707</v>
          </cell>
          <cell r="J31">
            <v>36.1133</v>
          </cell>
          <cell r="K31">
            <v>50.92</v>
          </cell>
          <cell r="L31">
            <v>50.8625</v>
          </cell>
          <cell r="M31">
            <v>9.7948</v>
          </cell>
          <cell r="N31">
            <v>9.784</v>
          </cell>
        </row>
        <row r="32">
          <cell r="A32" t="str">
            <v>192.168.133.59</v>
          </cell>
          <cell r="B32" t="str">
            <v>科技厅</v>
          </cell>
          <cell r="C32" t="str">
            <v>创新发展研究院支撑创新发展科技服务</v>
          </cell>
          <cell r="D32" t="str">
            <v>2024-03-21 16:18:36</v>
          </cell>
          <cell r="E32" t="str">
            <v>cn-east-220a</v>
          </cell>
          <cell r="F32" t="str">
            <v>16</v>
          </cell>
          <cell r="G32" t="str">
            <v>32.0</v>
          </cell>
          <cell r="H32" t="str">
            <v>240</v>
          </cell>
          <cell r="I32">
            <v>38.75</v>
          </cell>
          <cell r="J32">
            <v>38.735</v>
          </cell>
          <cell r="K32">
            <v>29.74</v>
          </cell>
          <cell r="L32">
            <v>29.5875</v>
          </cell>
          <cell r="M32">
            <v>35.7214</v>
          </cell>
          <cell r="N32">
            <v>35.7115</v>
          </cell>
        </row>
        <row r="33">
          <cell r="A33" t="str">
            <v>10.0.5.4</v>
          </cell>
          <cell r="B33" t="str">
            <v>省科技厅</v>
          </cell>
          <cell r="C33" t="str">
            <v>科技政策数据库_8</v>
          </cell>
          <cell r="D33" t="str">
            <v>2021-04-07 16:07:57</v>
          </cell>
          <cell r="E33" t="str">
            <v>cn-east-264a</v>
          </cell>
          <cell r="F33" t="str">
            <v>8</v>
          </cell>
          <cell r="G33" t="str">
            <v>16.0</v>
          </cell>
          <cell r="H33" t="str">
            <v>540</v>
          </cell>
          <cell r="I33">
            <v>0.73</v>
          </cell>
          <cell r="J33">
            <v>0.715</v>
          </cell>
          <cell r="K33">
            <v>28.16</v>
          </cell>
          <cell r="L33">
            <v>28.0425</v>
          </cell>
          <cell r="M33">
            <v>1.7976</v>
          </cell>
          <cell r="N33">
            <v>1.7965</v>
          </cell>
        </row>
        <row r="34">
          <cell r="A34" t="str">
            <v>192.168.133.50</v>
          </cell>
          <cell r="B34" t="str">
            <v>科技厅</v>
          </cell>
          <cell r="C34" t="str">
            <v>创新发展研究院支撑创新发展科技服务</v>
          </cell>
          <cell r="D34" t="str">
            <v>2024-03-21 16:08:19</v>
          </cell>
          <cell r="E34" t="str">
            <v>cn-east-220a</v>
          </cell>
          <cell r="F34" t="str">
            <v>8</v>
          </cell>
          <cell r="G34" t="str">
            <v>16.0</v>
          </cell>
          <cell r="H34" t="str">
            <v>1040</v>
          </cell>
          <cell r="I34">
            <v>25.63</v>
          </cell>
          <cell r="J34">
            <v>25.4525</v>
          </cell>
          <cell r="K34">
            <v>74.49</v>
          </cell>
          <cell r="L34">
            <v>74.445</v>
          </cell>
          <cell r="M34">
            <v>36.7974</v>
          </cell>
          <cell r="N34">
            <v>36.7653</v>
          </cell>
        </row>
        <row r="35">
          <cell r="A35" t="str">
            <v>10.0.146.4</v>
          </cell>
          <cell r="B35" t="str">
            <v>山东省科技厅</v>
          </cell>
          <cell r="C35" t="str">
            <v>用于部署短信数据库中间件</v>
          </cell>
          <cell r="D35" t="str">
            <v>2024-04-26 10:20:50</v>
          </cell>
          <cell r="E35" t="str">
            <v>cn-east-264a</v>
          </cell>
          <cell r="F35" t="str">
            <v>16</v>
          </cell>
          <cell r="G35" t="str">
            <v>64.0</v>
          </cell>
          <cell r="H35" t="str">
            <v>640</v>
          </cell>
          <cell r="I35">
            <v>37.74</v>
          </cell>
          <cell r="J35">
            <v>36.25</v>
          </cell>
          <cell r="K35">
            <v>57.46</v>
          </cell>
          <cell r="L35">
            <v>55.495</v>
          </cell>
          <cell r="M35">
            <v>15.7645</v>
          </cell>
          <cell r="N35">
            <v>15.5361</v>
          </cell>
        </row>
        <row r="36">
          <cell r="A36" t="str">
            <v>192.168.133.181</v>
          </cell>
          <cell r="B36" t="str">
            <v>科技厅</v>
          </cell>
          <cell r="C36" t="str">
            <v>创新发展研究院支撑创新发展科技服务</v>
          </cell>
          <cell r="D36" t="str">
            <v>2024-03-22 22:01:19</v>
          </cell>
          <cell r="E36" t="str">
            <v>cn-east-220a</v>
          </cell>
          <cell r="F36" t="str">
            <v>8</v>
          </cell>
          <cell r="G36" t="str">
            <v>32.0</v>
          </cell>
          <cell r="H36" t="str">
            <v>340</v>
          </cell>
          <cell r="I36">
            <v>41.41</v>
          </cell>
          <cell r="J36">
            <v>40.205</v>
          </cell>
          <cell r="K36">
            <v>30.17</v>
          </cell>
          <cell r="L36">
            <v>30.075</v>
          </cell>
          <cell r="M36">
            <v>29.3213</v>
          </cell>
          <cell r="N36">
            <v>29.1617</v>
          </cell>
        </row>
        <row r="37">
          <cell r="A37" t="str">
            <v>192.168.133.81</v>
          </cell>
          <cell r="B37" t="str">
            <v>科技厅</v>
          </cell>
          <cell r="C37" t="str">
            <v>创新发展研究院支撑创新发展科技服务</v>
          </cell>
          <cell r="D37" t="str">
            <v>2024-03-21 17:26:44</v>
          </cell>
          <cell r="E37" t="str">
            <v>cn-east-220a</v>
          </cell>
          <cell r="F37" t="str">
            <v>8</v>
          </cell>
          <cell r="G37" t="str">
            <v>16.0</v>
          </cell>
          <cell r="H37" t="str">
            <v>640</v>
          </cell>
          <cell r="I37">
            <v>0.84</v>
          </cell>
          <cell r="J37">
            <v>0.615</v>
          </cell>
          <cell r="K37">
            <v>22.72</v>
          </cell>
          <cell r="L37">
            <v>22.69</v>
          </cell>
          <cell r="M37">
            <v>4.6353</v>
          </cell>
          <cell r="N37">
            <v>4.6219</v>
          </cell>
        </row>
        <row r="38">
          <cell r="A38" t="str">
            <v>192.168.133.231</v>
          </cell>
          <cell r="B38" t="str">
            <v>科技厅</v>
          </cell>
          <cell r="C38" t="str">
            <v>测试资源</v>
          </cell>
          <cell r="D38" t="str">
            <v>2024-04-22 17:42:25</v>
          </cell>
          <cell r="E38" t="str">
            <v>cn-east-220a</v>
          </cell>
          <cell r="F38" t="str">
            <v>8</v>
          </cell>
          <cell r="G38" t="str">
            <v>16.0</v>
          </cell>
          <cell r="H38" t="str">
            <v>400</v>
          </cell>
          <cell r="I38">
            <v>40.2311</v>
          </cell>
          <cell r="J38">
            <v>24.1908</v>
          </cell>
          <cell r="K38">
            <v>35.36</v>
          </cell>
          <cell r="L38">
            <v>33.465</v>
          </cell>
          <cell r="M38">
            <v>3.6766</v>
          </cell>
          <cell r="N38">
            <v>3.6474</v>
          </cell>
        </row>
        <row r="39">
          <cell r="A39" t="str">
            <v>192.168.133.182</v>
          </cell>
          <cell r="B39" t="str">
            <v>科技厅</v>
          </cell>
          <cell r="C39" t="str">
            <v>测试资源</v>
          </cell>
          <cell r="D39" t="str">
            <v>2024-04-22 17:42:25</v>
          </cell>
          <cell r="E39" t="str">
            <v>cn-east-220a</v>
          </cell>
          <cell r="F39" t="str">
            <v>8</v>
          </cell>
          <cell r="G39" t="str">
            <v>16.0</v>
          </cell>
          <cell r="H39" t="str">
            <v>400</v>
          </cell>
          <cell r="I39">
            <v>1.72</v>
          </cell>
          <cell r="J39">
            <v>1.69</v>
          </cell>
          <cell r="K39">
            <v>40.34</v>
          </cell>
          <cell r="L39">
            <v>40.2825</v>
          </cell>
          <cell r="M39">
            <v>5.7326</v>
          </cell>
          <cell r="N39">
            <v>5.7296</v>
          </cell>
        </row>
        <row r="40">
          <cell r="A40" t="str">
            <v>192.168.133.172</v>
          </cell>
          <cell r="B40" t="str">
            <v>科技厅</v>
          </cell>
          <cell r="C40" t="str">
            <v>创新发展研究院支撑创新发展科技服务</v>
          </cell>
          <cell r="D40" t="str">
            <v>2024-03-22 21:58:43</v>
          </cell>
          <cell r="E40" t="str">
            <v>cn-east-220a</v>
          </cell>
          <cell r="F40" t="str">
            <v>8</v>
          </cell>
          <cell r="G40" t="str">
            <v>32.0</v>
          </cell>
          <cell r="H40" t="str">
            <v>840</v>
          </cell>
          <cell r="I40">
            <v>37.9792</v>
          </cell>
          <cell r="J40">
            <v>32.8549</v>
          </cell>
          <cell r="K40">
            <v>34.04</v>
          </cell>
          <cell r="L40">
            <v>34.005</v>
          </cell>
          <cell r="M40">
            <v>32.6811</v>
          </cell>
          <cell r="N40">
            <v>32.463</v>
          </cell>
        </row>
        <row r="41">
          <cell r="A41" t="str">
            <v>192.168.133.31</v>
          </cell>
          <cell r="B41" t="str">
            <v>科技厅</v>
          </cell>
          <cell r="C41" t="str">
            <v>创新发展研究院支撑创新发展科技服务</v>
          </cell>
          <cell r="D41" t="str">
            <v>2024-03-21 16:02:19</v>
          </cell>
          <cell r="E41" t="str">
            <v>cn-east-220a</v>
          </cell>
          <cell r="F41" t="str">
            <v>4</v>
          </cell>
          <cell r="G41" t="str">
            <v>16.0</v>
          </cell>
          <cell r="H41" t="str">
            <v>600</v>
          </cell>
          <cell r="I41">
            <v>0.67</v>
          </cell>
          <cell r="J41">
            <v>0.64</v>
          </cell>
          <cell r="K41">
            <v>17.38</v>
          </cell>
          <cell r="L41">
            <v>17.335</v>
          </cell>
          <cell r="M41">
            <v>49.8923</v>
          </cell>
          <cell r="N41">
            <v>49.8874</v>
          </cell>
        </row>
        <row r="42">
          <cell r="A42" t="str">
            <v>192.168.133.155</v>
          </cell>
          <cell r="B42" t="str">
            <v>科技厅</v>
          </cell>
          <cell r="C42" t="str">
            <v>创新发展研究院支撑创新发展科技服务</v>
          </cell>
          <cell r="D42" t="str">
            <v>2024-03-22 21:58:42</v>
          </cell>
          <cell r="E42" t="str">
            <v>cn-east-220a</v>
          </cell>
          <cell r="F42" t="str">
            <v>4</v>
          </cell>
          <cell r="G42" t="str">
            <v>16.0</v>
          </cell>
          <cell r="H42" t="str">
            <v>1100</v>
          </cell>
          <cell r="I42">
            <v>45.8257</v>
          </cell>
          <cell r="J42">
            <v>37.0152</v>
          </cell>
          <cell r="K42">
            <v>38.48</v>
          </cell>
          <cell r="L42">
            <v>38.425</v>
          </cell>
          <cell r="M42">
            <v>32.2191</v>
          </cell>
          <cell r="N42">
            <v>32.117</v>
          </cell>
        </row>
        <row r="43">
          <cell r="A43" t="str">
            <v>192.168.133.46</v>
          </cell>
          <cell r="B43" t="str">
            <v>科技厅</v>
          </cell>
          <cell r="C43" t="str">
            <v>创新发展研究院支撑创新发展科技服务</v>
          </cell>
          <cell r="D43" t="str">
            <v>2024-03-21 16:08:18</v>
          </cell>
          <cell r="E43" t="str">
            <v>cn-east-220a</v>
          </cell>
          <cell r="F43" t="str">
            <v>4</v>
          </cell>
          <cell r="G43" t="str">
            <v>8.0</v>
          </cell>
          <cell r="H43" t="str">
            <v>580</v>
          </cell>
          <cell r="I43">
            <v>46.43</v>
          </cell>
          <cell r="J43">
            <v>42.6875</v>
          </cell>
          <cell r="K43">
            <v>80.53</v>
          </cell>
          <cell r="L43">
            <v>80.42</v>
          </cell>
          <cell r="M43">
            <v>33.4697</v>
          </cell>
          <cell r="N43">
            <v>33.4211</v>
          </cell>
        </row>
        <row r="44">
          <cell r="A44" t="str">
            <v>192.168.133.64</v>
          </cell>
          <cell r="B44" t="str">
            <v>科技厅</v>
          </cell>
          <cell r="C44" t="str">
            <v>创新发展研究院支撑创新发展科技服务</v>
          </cell>
          <cell r="D44" t="str">
            <v>2024-03-21 16:22:49</v>
          </cell>
          <cell r="E44" t="str">
            <v>cn-east-220a</v>
          </cell>
          <cell r="F44" t="str">
            <v>8</v>
          </cell>
          <cell r="G44" t="str">
            <v>32.0</v>
          </cell>
          <cell r="H44" t="str">
            <v>340</v>
          </cell>
          <cell r="I44">
            <v>39.04</v>
          </cell>
          <cell r="J44">
            <v>39.0175</v>
          </cell>
          <cell r="K44">
            <v>17.56</v>
          </cell>
          <cell r="L44">
            <v>17.4025</v>
          </cell>
          <cell r="M44">
            <v>36.0896</v>
          </cell>
          <cell r="N44">
            <v>36.0866</v>
          </cell>
        </row>
        <row r="45">
          <cell r="A45" t="str">
            <v>192.168.133.49</v>
          </cell>
          <cell r="B45" t="str">
            <v>科技厅</v>
          </cell>
          <cell r="C45" t="str">
            <v>创新发展研究院支撑创新发展科技服务</v>
          </cell>
          <cell r="D45" t="str">
            <v>2024-03-21 16:08:18</v>
          </cell>
          <cell r="E45" t="str">
            <v>cn-east-220a</v>
          </cell>
          <cell r="F45" t="str">
            <v>8</v>
          </cell>
          <cell r="G45" t="str">
            <v>32.0</v>
          </cell>
          <cell r="H45" t="str">
            <v>540</v>
          </cell>
          <cell r="I45">
            <v>25.4</v>
          </cell>
          <cell r="J45">
            <v>25.275</v>
          </cell>
          <cell r="K45">
            <v>68.37</v>
          </cell>
          <cell r="L45">
            <v>68.2575</v>
          </cell>
          <cell r="M45">
            <v>40.6753</v>
          </cell>
          <cell r="N45">
            <v>40.595</v>
          </cell>
        </row>
        <row r="46">
          <cell r="A46" t="str">
            <v>192.168.133.73</v>
          </cell>
          <cell r="B46" t="str">
            <v>科技厅</v>
          </cell>
          <cell r="C46" t="str">
            <v>创新发展研究院支撑创新发展科技服务</v>
          </cell>
          <cell r="D46" t="str">
            <v>2024-03-21 17:26:44</v>
          </cell>
          <cell r="E46" t="str">
            <v>cn-east-220a</v>
          </cell>
          <cell r="F46" t="str">
            <v>8</v>
          </cell>
          <cell r="G46" t="str">
            <v>16.0</v>
          </cell>
          <cell r="H46" t="str">
            <v>640</v>
          </cell>
          <cell r="I46">
            <v>0.6562</v>
          </cell>
          <cell r="J46">
            <v>0.5233</v>
          </cell>
          <cell r="K46">
            <v>22.36</v>
          </cell>
          <cell r="L46">
            <v>22.1375</v>
          </cell>
          <cell r="M46">
            <v>5.7843</v>
          </cell>
          <cell r="N46">
            <v>5.7787</v>
          </cell>
        </row>
        <row r="47">
          <cell r="A47" t="str">
            <v>192.168.133.63</v>
          </cell>
          <cell r="B47" t="str">
            <v>科技厅</v>
          </cell>
          <cell r="C47" t="str">
            <v>创新发展研究院支撑创新发展科技服务</v>
          </cell>
          <cell r="D47" t="str">
            <v>2024-03-21 16:22:49</v>
          </cell>
          <cell r="E47" t="str">
            <v>cn-east-220a</v>
          </cell>
          <cell r="F47" t="str">
            <v>8</v>
          </cell>
          <cell r="G47" t="str">
            <v>32.0</v>
          </cell>
          <cell r="H47" t="str">
            <v>340</v>
          </cell>
          <cell r="I47">
            <v>39.53</v>
          </cell>
          <cell r="J47">
            <v>39.4575</v>
          </cell>
          <cell r="K47">
            <v>27.04</v>
          </cell>
          <cell r="L47">
            <v>26.9775</v>
          </cell>
          <cell r="M47">
            <v>34.3132</v>
          </cell>
          <cell r="N47">
            <v>34.3033</v>
          </cell>
        </row>
        <row r="48">
          <cell r="A48" t="str">
            <v>192.168.133.119</v>
          </cell>
          <cell r="B48" t="str">
            <v>科技厅</v>
          </cell>
          <cell r="C48" t="str">
            <v>创新发展研究院支撑创新发展科技服务</v>
          </cell>
          <cell r="D48" t="str">
            <v>2024-03-22 21:58:43</v>
          </cell>
          <cell r="E48" t="str">
            <v>cn-east-220a</v>
          </cell>
          <cell r="F48" t="str">
            <v>8</v>
          </cell>
          <cell r="G48" t="str">
            <v>32.0</v>
          </cell>
          <cell r="H48" t="str">
            <v>840</v>
          </cell>
          <cell r="I48">
            <v>54.52</v>
          </cell>
          <cell r="J48">
            <v>45.7235</v>
          </cell>
          <cell r="K48">
            <v>41.53</v>
          </cell>
          <cell r="L48">
            <v>37.0475</v>
          </cell>
          <cell r="M48">
            <v>33.2048</v>
          </cell>
          <cell r="N48">
            <v>33.1045</v>
          </cell>
        </row>
        <row r="49">
          <cell r="A49" t="str">
            <v>192.168.133.40</v>
          </cell>
          <cell r="B49" t="str">
            <v>科技厅</v>
          </cell>
          <cell r="C49" t="str">
            <v>创新发展研究院支撑创新发展科技服务</v>
          </cell>
          <cell r="D49" t="str">
            <v>2024-03-21 16:08:18</v>
          </cell>
          <cell r="E49" t="str">
            <v>cn-east-220a</v>
          </cell>
          <cell r="F49" t="str">
            <v>4</v>
          </cell>
          <cell r="G49" t="str">
            <v>8.0</v>
          </cell>
          <cell r="H49" t="str">
            <v>580</v>
          </cell>
          <cell r="I49">
            <v>43.85</v>
          </cell>
          <cell r="J49">
            <v>41.4475</v>
          </cell>
          <cell r="K49">
            <v>81.71</v>
          </cell>
          <cell r="L49">
            <v>81.6775</v>
          </cell>
          <cell r="M49">
            <v>30.9427</v>
          </cell>
          <cell r="N49">
            <v>30.916</v>
          </cell>
        </row>
        <row r="50">
          <cell r="A50" t="str">
            <v>192.168.133.122</v>
          </cell>
          <cell r="B50" t="str">
            <v>科技厅</v>
          </cell>
          <cell r="C50" t="str">
            <v>创新发展研究院支撑创新发展科技服务</v>
          </cell>
          <cell r="D50" t="str">
            <v>2024-03-22 22:01:19</v>
          </cell>
          <cell r="E50" t="str">
            <v>cn-east-220a</v>
          </cell>
          <cell r="F50" t="str">
            <v>8</v>
          </cell>
          <cell r="G50" t="str">
            <v>32.0</v>
          </cell>
          <cell r="H50" t="str">
            <v>340</v>
          </cell>
          <cell r="I50">
            <v>53.4043</v>
          </cell>
          <cell r="J50">
            <v>44.9485</v>
          </cell>
          <cell r="K50">
            <v>39.49</v>
          </cell>
          <cell r="L50">
            <v>36.7</v>
          </cell>
          <cell r="M50">
            <v>43.1445</v>
          </cell>
          <cell r="N50">
            <v>42.8622</v>
          </cell>
        </row>
        <row r="51">
          <cell r="A51" t="str">
            <v>192.168.133.241</v>
          </cell>
          <cell r="B51" t="str">
            <v>山东省科技厅</v>
          </cell>
          <cell r="C51" t="str">
            <v>签名验签服务</v>
          </cell>
          <cell r="D51" t="str">
            <v>2024-06-26 16:57:33</v>
          </cell>
          <cell r="E51" t="str">
            <v>cn-east-220a</v>
          </cell>
          <cell r="F51" t="str">
            <v>4</v>
          </cell>
          <cell r="G51" t="str">
            <v>8.0</v>
          </cell>
          <cell r="H51" t="str">
            <v>100</v>
          </cell>
          <cell r="I51">
            <v>2.0119</v>
          </cell>
          <cell r="J51">
            <v>1.9351</v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</row>
        <row r="52">
          <cell r="A52" t="str">
            <v>192.168.133.57</v>
          </cell>
          <cell r="B52" t="str">
            <v>科技厅</v>
          </cell>
          <cell r="C52" t="str">
            <v>创新发展研究院支撑创新发展科技服务</v>
          </cell>
          <cell r="D52" t="str">
            <v>2024-03-21 16:18:37</v>
          </cell>
          <cell r="E52" t="str">
            <v>cn-east-220a</v>
          </cell>
          <cell r="F52" t="str">
            <v>16</v>
          </cell>
          <cell r="G52" t="str">
            <v>32.0</v>
          </cell>
          <cell r="H52" t="str">
            <v>240</v>
          </cell>
          <cell r="I52">
            <v>38.83</v>
          </cell>
          <cell r="J52">
            <v>38.79</v>
          </cell>
          <cell r="K52">
            <v>31.02</v>
          </cell>
          <cell r="L52">
            <v>30.8575</v>
          </cell>
          <cell r="M52">
            <v>41.2752</v>
          </cell>
          <cell r="N52">
            <v>41.2703</v>
          </cell>
        </row>
        <row r="53">
          <cell r="A53" t="str">
            <v>10.0.133.116</v>
          </cell>
          <cell r="B53" t="str">
            <v>山东省科技厅</v>
          </cell>
          <cell r="C53" t="str">
            <v>山东省大型科学仪器设备协作共用网</v>
          </cell>
          <cell r="D53" t="str">
            <v>2025-04-01 10:31:12</v>
          </cell>
          <cell r="E53" t="str">
            <v>cn-east-264a</v>
          </cell>
          <cell r="F53" t="str">
            <v>4</v>
          </cell>
          <cell r="G53" t="str">
            <v>32.0</v>
          </cell>
          <cell r="H53" t="str">
            <v>3040</v>
          </cell>
          <cell r="I53">
            <v>69.44</v>
          </cell>
          <cell r="J53">
            <v>53.4525</v>
          </cell>
          <cell r="K53">
            <v>76</v>
          </cell>
          <cell r="L53">
            <v>75.9</v>
          </cell>
          <cell r="M53">
            <v>13.1788</v>
          </cell>
          <cell r="N53">
            <v>13.1016</v>
          </cell>
        </row>
        <row r="54">
          <cell r="A54" t="str">
            <v>192.168.133.44</v>
          </cell>
          <cell r="B54" t="str">
            <v>科技厅</v>
          </cell>
          <cell r="C54" t="str">
            <v>创新发展研究院支撑创新发展科技服务</v>
          </cell>
          <cell r="D54" t="str">
            <v>2024-03-21 16:08:18</v>
          </cell>
          <cell r="E54" t="str">
            <v>cn-east-220a</v>
          </cell>
          <cell r="F54" t="str">
            <v>8</v>
          </cell>
          <cell r="G54" t="str">
            <v>32.0</v>
          </cell>
          <cell r="H54" t="str">
            <v>540</v>
          </cell>
          <cell r="I54">
            <v>26.13</v>
          </cell>
          <cell r="J54">
            <v>25.8425</v>
          </cell>
          <cell r="K54">
            <v>71.74</v>
          </cell>
          <cell r="L54">
            <v>71.7175</v>
          </cell>
          <cell r="M54">
            <v>30.9488</v>
          </cell>
          <cell r="N54">
            <v>30.9131</v>
          </cell>
        </row>
        <row r="55">
          <cell r="A55" t="str">
            <v>192.168.133.69</v>
          </cell>
          <cell r="B55" t="str">
            <v>科技厅</v>
          </cell>
          <cell r="C55" t="str">
            <v>创新发展研究院支撑创新发展科技服务</v>
          </cell>
          <cell r="D55" t="str">
            <v>2024-03-21 17:04:52</v>
          </cell>
          <cell r="E55" t="str">
            <v>cn-east-220a</v>
          </cell>
          <cell r="F55" t="str">
            <v>16</v>
          </cell>
          <cell r="G55" t="str">
            <v>64.0</v>
          </cell>
          <cell r="H55" t="str">
            <v>540</v>
          </cell>
          <cell r="I55">
            <v>38.68</v>
          </cell>
          <cell r="J55">
            <v>38.6175</v>
          </cell>
          <cell r="K55">
            <v>33.27</v>
          </cell>
          <cell r="L55">
            <v>33.17</v>
          </cell>
          <cell r="M55">
            <v>45.4459</v>
          </cell>
          <cell r="N55">
            <v>45.441</v>
          </cell>
        </row>
        <row r="56">
          <cell r="A56" t="str">
            <v>192.168.133.84</v>
          </cell>
          <cell r="B56" t="str">
            <v>科技厅</v>
          </cell>
          <cell r="C56" t="str">
            <v>创新发展研究院支撑创新发展科技服务</v>
          </cell>
          <cell r="D56" t="str">
            <v>2024-03-21 17:26:46</v>
          </cell>
          <cell r="E56" t="str">
            <v>cn-east-220a</v>
          </cell>
          <cell r="F56" t="str">
            <v>8</v>
          </cell>
          <cell r="G56" t="str">
            <v>16.0</v>
          </cell>
          <cell r="H56" t="str">
            <v>1340</v>
          </cell>
          <cell r="I56">
            <v>62.8</v>
          </cell>
          <cell r="J56">
            <v>39.32</v>
          </cell>
          <cell r="K56">
            <v>50.31</v>
          </cell>
          <cell r="L56">
            <v>50.11</v>
          </cell>
          <cell r="M56">
            <v>46.1938</v>
          </cell>
          <cell r="N56">
            <v>46.0276</v>
          </cell>
        </row>
        <row r="57">
          <cell r="A57" t="str">
            <v>10.0.5.2</v>
          </cell>
          <cell r="B57" t="str">
            <v>省科技厅</v>
          </cell>
          <cell r="C57" t="str">
            <v>科技政策数据库_8</v>
          </cell>
          <cell r="D57" t="str">
            <v>2021-04-07 16:02:35</v>
          </cell>
          <cell r="E57" t="str">
            <v>cn-east-264a</v>
          </cell>
          <cell r="F57" t="str">
            <v>8</v>
          </cell>
          <cell r="G57" t="str">
            <v>16.0</v>
          </cell>
          <cell r="H57" t="str">
            <v>540</v>
          </cell>
          <cell r="I57">
            <v>0.9951</v>
          </cell>
          <cell r="J57">
            <v>0.9675</v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</row>
        <row r="58">
          <cell r="A58" t="str">
            <v>192.168.133.196</v>
          </cell>
          <cell r="B58" t="str">
            <v>山东省科技厅</v>
          </cell>
          <cell r="C58" t="str">
            <v>DeepSeek知识库</v>
          </cell>
          <cell r="D58" t="str">
            <v>2025-04-08 11:30:24</v>
          </cell>
          <cell r="E58" t="str">
            <v>cn-east-220a</v>
          </cell>
          <cell r="F58" t="str">
            <v>8</v>
          </cell>
          <cell r="G58" t="str">
            <v>16.0</v>
          </cell>
          <cell r="H58" t="str">
            <v>200</v>
          </cell>
          <cell r="I58">
            <v>28.2232</v>
          </cell>
          <cell r="J58">
            <v>28.1512</v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</row>
        <row r="59">
          <cell r="A59" t="str">
            <v>10.0.133.233</v>
          </cell>
          <cell r="B59" t="str">
            <v>山东省科技厅</v>
          </cell>
          <cell r="C59" t="str">
            <v>创新发展研究院支撑创新发展科技服务</v>
          </cell>
          <cell r="D59" t="str">
            <v>2024-03-22 10:01:33</v>
          </cell>
          <cell r="E59" t="str">
            <v>cn-east-264a</v>
          </cell>
          <cell r="F59" t="str">
            <v>4</v>
          </cell>
          <cell r="G59" t="str">
            <v>8.0</v>
          </cell>
          <cell r="H59" t="str">
            <v>280</v>
          </cell>
          <cell r="I59">
            <v>30.67</v>
          </cell>
          <cell r="J59">
            <v>29.3475</v>
          </cell>
          <cell r="K59">
            <v>22.83</v>
          </cell>
          <cell r="L59">
            <v>22.815</v>
          </cell>
          <cell r="M59">
            <v>45.2443</v>
          </cell>
          <cell r="N59">
            <v>45.2249</v>
          </cell>
        </row>
        <row r="60">
          <cell r="A60" t="str">
            <v>192.168.133.4</v>
          </cell>
          <cell r="B60" t="str">
            <v>科技厅</v>
          </cell>
          <cell r="C60" t="str">
            <v>创新发展研究院支撑创新发展科技服务</v>
          </cell>
          <cell r="D60" t="str">
            <v>2024-03-21 11:51:12</v>
          </cell>
          <cell r="E60" t="str">
            <v>cn-east-220a</v>
          </cell>
          <cell r="F60" t="str">
            <v>8</v>
          </cell>
          <cell r="G60" t="str">
            <v>16.0</v>
          </cell>
          <cell r="H60" t="str">
            <v>240</v>
          </cell>
          <cell r="I60">
            <v>35.9</v>
          </cell>
          <cell r="J60">
            <v>34.0025</v>
          </cell>
          <cell r="K60">
            <v>35.55</v>
          </cell>
          <cell r="L60">
            <v>35.4475</v>
          </cell>
          <cell r="M60">
            <v>81.8924</v>
          </cell>
          <cell r="N60">
            <v>81.6327</v>
          </cell>
        </row>
        <row r="61">
          <cell r="A61" t="str">
            <v>192.168.133.79</v>
          </cell>
          <cell r="B61" t="str">
            <v>科技厅</v>
          </cell>
          <cell r="C61" t="str">
            <v>创新发展研究院支撑创新发展科技服务</v>
          </cell>
          <cell r="D61" t="str">
            <v>2024-03-21 17:26:43</v>
          </cell>
          <cell r="E61" t="str">
            <v>cn-east-220a</v>
          </cell>
          <cell r="F61" t="str">
            <v>8</v>
          </cell>
          <cell r="G61" t="str">
            <v>16.0</v>
          </cell>
          <cell r="H61" t="str">
            <v>840</v>
          </cell>
          <cell r="I61">
            <v>28.55</v>
          </cell>
          <cell r="J61">
            <v>28.13</v>
          </cell>
          <cell r="K61">
            <v>51.04</v>
          </cell>
          <cell r="L61">
            <v>50.9525</v>
          </cell>
          <cell r="M61">
            <v>67.9318</v>
          </cell>
          <cell r="N61">
            <v>67.9208</v>
          </cell>
        </row>
        <row r="62">
          <cell r="A62" t="str">
            <v>192.168.133.39</v>
          </cell>
          <cell r="B62" t="str">
            <v>科技厅</v>
          </cell>
          <cell r="C62" t="str">
            <v>创新发展研究院支撑创新发展科技服务</v>
          </cell>
          <cell r="D62" t="str">
            <v>2024-03-21 16:08:18</v>
          </cell>
          <cell r="E62" t="str">
            <v>cn-east-220a</v>
          </cell>
          <cell r="F62" t="str">
            <v>8</v>
          </cell>
          <cell r="G62" t="str">
            <v>32.0</v>
          </cell>
          <cell r="H62" t="str">
            <v>540</v>
          </cell>
          <cell r="I62">
            <v>30.17</v>
          </cell>
          <cell r="J62">
            <v>29.41</v>
          </cell>
          <cell r="K62">
            <v>72.15</v>
          </cell>
          <cell r="L62">
            <v>72.1025</v>
          </cell>
          <cell r="M62">
            <v>35.1682</v>
          </cell>
          <cell r="N62">
            <v>35.1357</v>
          </cell>
        </row>
        <row r="63">
          <cell r="A63" t="str">
            <v>10.0.146.6</v>
          </cell>
          <cell r="B63" t="str">
            <v>山东省科技厅</v>
          </cell>
          <cell r="C63" t="str">
            <v>用于部署短信数据库中间件</v>
          </cell>
          <cell r="D63" t="str">
            <v>2024-04-26 10:20:50</v>
          </cell>
          <cell r="E63" t="str">
            <v>cn-east-264a</v>
          </cell>
          <cell r="F63" t="str">
            <v>16</v>
          </cell>
          <cell r="G63" t="str">
            <v>64.0</v>
          </cell>
          <cell r="H63" t="str">
            <v>640</v>
          </cell>
          <cell r="I63">
            <v>7.03</v>
          </cell>
          <cell r="J63">
            <v>6.97</v>
          </cell>
          <cell r="K63">
            <v>45.08</v>
          </cell>
          <cell r="L63">
            <v>45.05</v>
          </cell>
          <cell r="M63">
            <v>11.7991</v>
          </cell>
          <cell r="N63">
            <v>11.6834</v>
          </cell>
        </row>
        <row r="64">
          <cell r="A64" t="str">
            <v>192.168.133.52</v>
          </cell>
          <cell r="B64" t="str">
            <v>科技厅</v>
          </cell>
          <cell r="C64" t="str">
            <v>创新发展研究院支撑创新发展科技服务</v>
          </cell>
          <cell r="D64" t="str">
            <v>2024-03-21 16:15:17</v>
          </cell>
          <cell r="E64" t="str">
            <v>cn-east-220a</v>
          </cell>
          <cell r="F64" t="str">
            <v>8</v>
          </cell>
          <cell r="G64" t="str">
            <v>32.0</v>
          </cell>
          <cell r="H64" t="str">
            <v>140</v>
          </cell>
          <cell r="I64">
            <v>39.06</v>
          </cell>
          <cell r="J64">
            <v>38.965</v>
          </cell>
          <cell r="K64">
            <v>18.03</v>
          </cell>
          <cell r="L64">
            <v>17.93</v>
          </cell>
          <cell r="M64">
            <v>36.6985</v>
          </cell>
          <cell r="N64">
            <v>36.6938</v>
          </cell>
        </row>
        <row r="65">
          <cell r="A65" t="str">
            <v>192.168.133.82</v>
          </cell>
          <cell r="B65" t="str">
            <v>科技厅</v>
          </cell>
          <cell r="C65" t="str">
            <v>创新发展研究院支撑创新发展科技服务</v>
          </cell>
          <cell r="D65" t="str">
            <v>2024-03-21 17:26:45</v>
          </cell>
          <cell r="E65" t="str">
            <v>cn-east-220a</v>
          </cell>
          <cell r="F65" t="str">
            <v>8</v>
          </cell>
          <cell r="G65" t="str">
            <v>16.0</v>
          </cell>
          <cell r="H65" t="str">
            <v>540</v>
          </cell>
          <cell r="I65">
            <v>26.06</v>
          </cell>
          <cell r="J65">
            <v>26.035</v>
          </cell>
          <cell r="K65">
            <v>48.05</v>
          </cell>
          <cell r="L65">
            <v>48.0425</v>
          </cell>
          <cell r="M65">
            <v>58.9081</v>
          </cell>
          <cell r="N65">
            <v>58.8905</v>
          </cell>
        </row>
        <row r="66">
          <cell r="A66" t="str">
            <v>192.168.138.2</v>
          </cell>
          <cell r="B66" t="str">
            <v>山东省科技厅</v>
          </cell>
          <cell r="C66" t="str">
            <v>用于部署主备短信代理服务</v>
          </cell>
          <cell r="D66" t="str">
            <v>2024-04-26 09:53:10</v>
          </cell>
          <cell r="E66" t="str">
            <v>cn-east-220a</v>
          </cell>
          <cell r="F66" t="str">
            <v>8</v>
          </cell>
          <cell r="G66" t="str">
            <v>16.0</v>
          </cell>
          <cell r="H66" t="str">
            <v>240</v>
          </cell>
          <cell r="I66">
            <v>20.5837</v>
          </cell>
          <cell r="J66">
            <v>20.4078</v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</row>
        <row r="67">
          <cell r="A67" t="str">
            <v>192.168.133.56</v>
          </cell>
          <cell r="B67" t="str">
            <v>科技厅</v>
          </cell>
          <cell r="C67" t="str">
            <v>创新发展研究院支撑创新发展科技服务</v>
          </cell>
          <cell r="D67" t="str">
            <v>2024-03-21 16:18:37</v>
          </cell>
          <cell r="E67" t="str">
            <v>cn-east-220a</v>
          </cell>
          <cell r="F67" t="str">
            <v>8</v>
          </cell>
          <cell r="G67" t="str">
            <v>32.0</v>
          </cell>
          <cell r="H67" t="str">
            <v>340</v>
          </cell>
          <cell r="I67">
            <v>38.98</v>
          </cell>
          <cell r="J67">
            <v>38.9575</v>
          </cell>
          <cell r="K67">
            <v>22.03</v>
          </cell>
          <cell r="L67">
            <v>21.9375</v>
          </cell>
          <cell r="M67">
            <v>36.144</v>
          </cell>
          <cell r="N67">
            <v>36.1385</v>
          </cell>
        </row>
        <row r="68">
          <cell r="A68" t="str">
            <v>192.168.133.6</v>
          </cell>
          <cell r="B68" t="str">
            <v>科技厅</v>
          </cell>
          <cell r="C68" t="str">
            <v>创新发展研究院支撑创新发展科技服务</v>
          </cell>
          <cell r="D68" t="str">
            <v>2024-03-21 11:51:12</v>
          </cell>
          <cell r="E68" t="str">
            <v>cn-east-220a</v>
          </cell>
          <cell r="F68" t="str">
            <v>4</v>
          </cell>
          <cell r="G68" t="str">
            <v>8.0</v>
          </cell>
          <cell r="H68" t="str">
            <v>280</v>
          </cell>
          <cell r="I68">
            <v>26.24</v>
          </cell>
          <cell r="J68">
            <v>26.1525</v>
          </cell>
          <cell r="K68">
            <v>24.1</v>
          </cell>
          <cell r="L68">
            <v>24.0225</v>
          </cell>
          <cell r="M68">
            <v>54.2063</v>
          </cell>
          <cell r="N68">
            <v>53.4943</v>
          </cell>
        </row>
        <row r="69">
          <cell r="A69" t="str">
            <v>10.0.133.79</v>
          </cell>
          <cell r="B69" t="str">
            <v>山东省科技厅</v>
          </cell>
          <cell r="C69" t="str">
            <v>山东省大型科研仪器开放共享平台</v>
          </cell>
          <cell r="D69" t="str">
            <v>2023-12-25 17:52:38</v>
          </cell>
          <cell r="E69" t="str">
            <v>cn-east-264a</v>
          </cell>
          <cell r="F69" t="str">
            <v>4</v>
          </cell>
          <cell r="G69" t="str">
            <v>32.0</v>
          </cell>
          <cell r="H69" t="str">
            <v>3040</v>
          </cell>
          <cell r="I69">
            <v>62.57</v>
          </cell>
          <cell r="J69">
            <v>55.89</v>
          </cell>
          <cell r="K69">
            <v>74.78</v>
          </cell>
          <cell r="L69">
            <v>74.7425</v>
          </cell>
          <cell r="M69">
            <v>13.3505</v>
          </cell>
          <cell r="N69">
            <v>13.2522</v>
          </cell>
        </row>
        <row r="70">
          <cell r="A70" t="str">
            <v>192.168.133.150</v>
          </cell>
          <cell r="B70" t="str">
            <v>科技厅</v>
          </cell>
          <cell r="C70" t="str">
            <v>创新发展研究院支撑创新发展科技服务</v>
          </cell>
          <cell r="D70" t="str">
            <v>2024-03-22 21:58:41</v>
          </cell>
          <cell r="E70" t="str">
            <v>cn-east-220a</v>
          </cell>
          <cell r="F70" t="str">
            <v>8</v>
          </cell>
          <cell r="G70" t="str">
            <v>32.0</v>
          </cell>
          <cell r="H70" t="str">
            <v>840</v>
          </cell>
          <cell r="I70">
            <v>48.5941</v>
          </cell>
          <cell r="J70">
            <v>37.6661</v>
          </cell>
          <cell r="K70">
            <v>38.27</v>
          </cell>
          <cell r="L70">
            <v>38.175</v>
          </cell>
          <cell r="M70">
            <v>31.3205</v>
          </cell>
          <cell r="N70">
            <v>31.2466</v>
          </cell>
        </row>
        <row r="71">
          <cell r="A71" t="str">
            <v>10.0.5.5</v>
          </cell>
          <cell r="B71" t="str">
            <v>省科技厅</v>
          </cell>
          <cell r="C71" t="str">
            <v>科技政策数据库_8</v>
          </cell>
          <cell r="D71" t="str">
            <v>2021-04-07 16:10:39</v>
          </cell>
          <cell r="E71" t="str">
            <v>cn-east-264a</v>
          </cell>
          <cell r="F71" t="str">
            <v>8</v>
          </cell>
          <cell r="G71" t="str">
            <v>16.0</v>
          </cell>
          <cell r="H71" t="str">
            <v>540</v>
          </cell>
          <cell r="I71">
            <v>0.12</v>
          </cell>
          <cell r="J71">
            <v>0.1</v>
          </cell>
          <cell r="K71">
            <v>27.46</v>
          </cell>
          <cell r="L71">
            <v>27.35</v>
          </cell>
          <cell r="M71">
            <v>1.6252</v>
          </cell>
          <cell r="N71">
            <v>1.6237</v>
          </cell>
        </row>
        <row r="72">
          <cell r="A72" t="str">
            <v>192.168.133.12</v>
          </cell>
          <cell r="B72" t="str">
            <v>科技厅</v>
          </cell>
          <cell r="C72" t="str">
            <v>创新发展研究院支撑创新发展科技服务</v>
          </cell>
          <cell r="D72" t="str">
            <v>2024-03-21 11:51:12</v>
          </cell>
          <cell r="E72" t="str">
            <v>cn-east-220a</v>
          </cell>
          <cell r="F72" t="str">
            <v>8</v>
          </cell>
          <cell r="G72" t="str">
            <v>16.0</v>
          </cell>
          <cell r="H72" t="str">
            <v>340</v>
          </cell>
          <cell r="I72">
            <v>25.38</v>
          </cell>
          <cell r="J72">
            <v>25.31</v>
          </cell>
          <cell r="K72">
            <v>22.03</v>
          </cell>
          <cell r="L72">
            <v>22</v>
          </cell>
          <cell r="M72">
            <v>33.1085</v>
          </cell>
          <cell r="N72">
            <v>33.0802</v>
          </cell>
        </row>
        <row r="73">
          <cell r="A73" t="str">
            <v>192.168.133.13</v>
          </cell>
          <cell r="B73" t="str">
            <v>科技厅</v>
          </cell>
          <cell r="C73" t="str">
            <v>创新发展研究院支撑创新发展科技服务</v>
          </cell>
          <cell r="D73" t="str">
            <v>2024-03-21 11:51:11</v>
          </cell>
          <cell r="E73" t="str">
            <v>cn-east-220a</v>
          </cell>
          <cell r="F73" t="str">
            <v>8</v>
          </cell>
          <cell r="G73" t="str">
            <v>16.0</v>
          </cell>
          <cell r="H73" t="str">
            <v>340</v>
          </cell>
          <cell r="I73">
            <v>25.38</v>
          </cell>
          <cell r="J73">
            <v>25.2288</v>
          </cell>
          <cell r="K73">
            <v>19.27</v>
          </cell>
          <cell r="L73">
            <v>19.25</v>
          </cell>
          <cell r="M73">
            <v>29.8163</v>
          </cell>
          <cell r="N73">
            <v>29.7964</v>
          </cell>
        </row>
        <row r="74">
          <cell r="A74" t="str">
            <v>192.168.133.43</v>
          </cell>
          <cell r="B74" t="str">
            <v>科技厅</v>
          </cell>
          <cell r="C74" t="str">
            <v>创新发展研究院支撑创新发展科技服务</v>
          </cell>
          <cell r="D74" t="str">
            <v>2024-03-21 16:08:19</v>
          </cell>
          <cell r="E74" t="str">
            <v>cn-east-220a</v>
          </cell>
          <cell r="F74" t="str">
            <v>8</v>
          </cell>
          <cell r="G74" t="str">
            <v>32.0</v>
          </cell>
          <cell r="H74" t="str">
            <v>540</v>
          </cell>
          <cell r="I74">
            <v>26.34</v>
          </cell>
          <cell r="J74">
            <v>25.725</v>
          </cell>
          <cell r="K74">
            <v>71.97</v>
          </cell>
          <cell r="L74">
            <v>71.6525</v>
          </cell>
          <cell r="M74">
            <v>29.3932</v>
          </cell>
          <cell r="N74">
            <v>29.2736</v>
          </cell>
        </row>
        <row r="75">
          <cell r="A75" t="str">
            <v>192.168.133.11</v>
          </cell>
          <cell r="B75" t="str">
            <v>科技厅</v>
          </cell>
          <cell r="C75" t="str">
            <v>创新发展研究院支撑创新发展科技服务</v>
          </cell>
          <cell r="D75" t="str">
            <v>2024-03-21 11:51:12</v>
          </cell>
          <cell r="E75" t="str">
            <v>cn-east-220a</v>
          </cell>
          <cell r="F75" t="str">
            <v>8</v>
          </cell>
          <cell r="G75" t="str">
            <v>16.0</v>
          </cell>
          <cell r="H75" t="str">
            <v>240</v>
          </cell>
          <cell r="I75">
            <v>0.37</v>
          </cell>
          <cell r="J75">
            <v>0.35</v>
          </cell>
          <cell r="K75">
            <v>17.11</v>
          </cell>
          <cell r="L75">
            <v>17.095</v>
          </cell>
          <cell r="M75">
            <v>2.5856</v>
          </cell>
          <cell r="N75">
            <v>2.5826</v>
          </cell>
        </row>
        <row r="76">
          <cell r="A76" t="str">
            <v>192.168.133.38</v>
          </cell>
          <cell r="B76" t="str">
            <v>科技厅</v>
          </cell>
          <cell r="C76" t="str">
            <v>创新发展研究院支撑创新发展科技服务</v>
          </cell>
          <cell r="D76" t="str">
            <v>2024-03-21 16:08:18</v>
          </cell>
          <cell r="E76" t="str">
            <v>cn-east-220a</v>
          </cell>
          <cell r="F76" t="str">
            <v>4</v>
          </cell>
          <cell r="G76" t="str">
            <v>16.0</v>
          </cell>
          <cell r="H76" t="str">
            <v>800</v>
          </cell>
          <cell r="I76">
            <v>27.72</v>
          </cell>
          <cell r="J76">
            <v>26.8225</v>
          </cell>
          <cell r="K76">
            <v>81.91</v>
          </cell>
          <cell r="L76">
            <v>81.765</v>
          </cell>
          <cell r="M76">
            <v>34.083</v>
          </cell>
          <cell r="N76">
            <v>34.0733</v>
          </cell>
        </row>
        <row r="77">
          <cell r="A77" t="str">
            <v>192.168.133.247</v>
          </cell>
          <cell r="B77" t="str">
            <v>科技厅</v>
          </cell>
          <cell r="C77" t="str">
            <v>测试资源</v>
          </cell>
          <cell r="D77" t="str">
            <v>2024-04-22 17:42:25</v>
          </cell>
          <cell r="E77" t="str">
            <v>cn-east-220a</v>
          </cell>
          <cell r="F77" t="str">
            <v>8</v>
          </cell>
          <cell r="G77" t="str">
            <v>16.0</v>
          </cell>
          <cell r="H77" t="str">
            <v>400</v>
          </cell>
          <cell r="I77">
            <v>36.7507</v>
          </cell>
          <cell r="J77">
            <v>21.4158</v>
          </cell>
          <cell r="K77">
            <v>31.88</v>
          </cell>
          <cell r="L77">
            <v>31.7775</v>
          </cell>
          <cell r="M77">
            <v>3.6104</v>
          </cell>
          <cell r="N77">
            <v>3.5973</v>
          </cell>
        </row>
        <row r="78">
          <cell r="A78" t="str">
            <v>192.168.133.129</v>
          </cell>
          <cell r="B78" t="str">
            <v>科技厅</v>
          </cell>
          <cell r="C78" t="str">
            <v>创新发展研究院支撑创新发展科技服务</v>
          </cell>
          <cell r="D78" t="str">
            <v>2024-03-22 21:58:43</v>
          </cell>
          <cell r="E78" t="str">
            <v>cn-east-220a</v>
          </cell>
          <cell r="F78" t="str">
            <v>8</v>
          </cell>
          <cell r="G78" t="str">
            <v>32.0</v>
          </cell>
          <cell r="H78" t="str">
            <v>840</v>
          </cell>
          <cell r="I78">
            <v>35.9783</v>
          </cell>
          <cell r="J78">
            <v>31.4611</v>
          </cell>
          <cell r="K78">
            <v>29.52</v>
          </cell>
          <cell r="L78">
            <v>29.17</v>
          </cell>
          <cell r="M78">
            <v>30.9565</v>
          </cell>
          <cell r="N78">
            <v>30.9443</v>
          </cell>
        </row>
        <row r="79">
          <cell r="A79" t="str">
            <v>192.168.133.42</v>
          </cell>
          <cell r="B79" t="str">
            <v>科技厅</v>
          </cell>
          <cell r="C79" t="str">
            <v>创新发展研究院支撑创新发展科技服务</v>
          </cell>
          <cell r="D79" t="str">
            <v>2024-03-21 16:08:18</v>
          </cell>
          <cell r="E79" t="str">
            <v>cn-east-220a</v>
          </cell>
          <cell r="F79" t="str">
            <v>8</v>
          </cell>
          <cell r="G79" t="str">
            <v>32.0</v>
          </cell>
          <cell r="H79" t="str">
            <v>540</v>
          </cell>
          <cell r="I79">
            <v>25.49</v>
          </cell>
          <cell r="J79">
            <v>25.335</v>
          </cell>
          <cell r="K79">
            <v>71.91</v>
          </cell>
          <cell r="L79">
            <v>71.8275</v>
          </cell>
          <cell r="M79">
            <v>32.7388</v>
          </cell>
          <cell r="N79">
            <v>32.6058</v>
          </cell>
        </row>
        <row r="80">
          <cell r="A80" t="str">
            <v>10.0.133.163</v>
          </cell>
          <cell r="B80" t="str">
            <v>山东省科技厅</v>
          </cell>
          <cell r="C80" t="str">
            <v>创新发展研究院支撑创新发展科技服务</v>
          </cell>
          <cell r="D80" t="str">
            <v>2024-03-22 10:02:39</v>
          </cell>
          <cell r="E80" t="str">
            <v>cn-east-264a</v>
          </cell>
          <cell r="F80" t="str">
            <v>16</v>
          </cell>
          <cell r="G80" t="str">
            <v>32.0</v>
          </cell>
          <cell r="H80" t="str">
            <v>540</v>
          </cell>
          <cell r="I80">
            <v>0.2</v>
          </cell>
          <cell r="J80">
            <v>0.195</v>
          </cell>
          <cell r="K80">
            <v>20.83</v>
          </cell>
          <cell r="L80">
            <v>20.7775</v>
          </cell>
          <cell r="M80">
            <v>4.5098</v>
          </cell>
          <cell r="N80">
            <v>4.4951</v>
          </cell>
        </row>
        <row r="81">
          <cell r="A81" t="str">
            <v>192.168.133.45</v>
          </cell>
          <cell r="B81" t="str">
            <v>科技厅</v>
          </cell>
          <cell r="C81" t="str">
            <v>创新发展研究院支撑创新发展科技服务</v>
          </cell>
          <cell r="D81" t="str">
            <v>2024-03-21 16:08:18</v>
          </cell>
          <cell r="E81" t="str">
            <v>cn-east-220a</v>
          </cell>
          <cell r="F81" t="str">
            <v>8</v>
          </cell>
          <cell r="G81" t="str">
            <v>32.0</v>
          </cell>
          <cell r="H81" t="str">
            <v>540</v>
          </cell>
          <cell r="I81">
            <v>26.03</v>
          </cell>
          <cell r="J81">
            <v>25.54</v>
          </cell>
          <cell r="K81">
            <v>71.5</v>
          </cell>
          <cell r="L81">
            <v>71.49</v>
          </cell>
          <cell r="M81">
            <v>32.6828</v>
          </cell>
          <cell r="N81">
            <v>32.6445</v>
          </cell>
        </row>
        <row r="82">
          <cell r="A82" t="str">
            <v>192.168.133.47</v>
          </cell>
          <cell r="B82" t="str">
            <v>科技厅</v>
          </cell>
          <cell r="C82" t="str">
            <v>创新发展研究院支撑创新发展科技服务</v>
          </cell>
          <cell r="D82" t="str">
            <v>2024-03-21 16:08:18</v>
          </cell>
          <cell r="E82" t="str">
            <v>cn-east-220a</v>
          </cell>
          <cell r="F82" t="str">
            <v>8</v>
          </cell>
          <cell r="G82" t="str">
            <v>16.0</v>
          </cell>
          <cell r="H82" t="str">
            <v>1000</v>
          </cell>
          <cell r="I82">
            <v>28.42</v>
          </cell>
          <cell r="J82">
            <v>27.805</v>
          </cell>
          <cell r="K82">
            <v>76.79</v>
          </cell>
          <cell r="L82">
            <v>76.7375</v>
          </cell>
          <cell r="M82">
            <v>40.8784</v>
          </cell>
          <cell r="N82">
            <v>40.7579</v>
          </cell>
        </row>
        <row r="83">
          <cell r="A83" t="str">
            <v>192.168.133.235</v>
          </cell>
          <cell r="B83" t="str">
            <v>山东省科技厅</v>
          </cell>
          <cell r="C83" t="str">
            <v>山东省大型科学仪器设备协作共用网</v>
          </cell>
          <cell r="D83" t="str">
            <v>2024-11-27 10:04:26</v>
          </cell>
          <cell r="E83" t="str">
            <v>cn-east-220a</v>
          </cell>
          <cell r="F83" t="str">
            <v>4</v>
          </cell>
          <cell r="G83" t="str">
            <v>8.0</v>
          </cell>
          <cell r="H83" t="str">
            <v>100</v>
          </cell>
          <cell r="I83">
            <v>54.6</v>
          </cell>
          <cell r="J83">
            <v>54.495</v>
          </cell>
          <cell r="K83">
            <v>89.44</v>
          </cell>
          <cell r="L83">
            <v>86.22</v>
          </cell>
          <cell r="M83">
            <v>47.425</v>
          </cell>
          <cell r="N83">
            <v>47.3783</v>
          </cell>
        </row>
        <row r="84">
          <cell r="A84" t="str">
            <v>10.0.146.2</v>
          </cell>
          <cell r="B84" t="str">
            <v>山东省科技厅</v>
          </cell>
          <cell r="C84" t="str">
            <v>用于部署短信应用</v>
          </cell>
          <cell r="D84" t="str">
            <v>2024-04-26 10:17:46</v>
          </cell>
          <cell r="E84" t="str">
            <v>cn-east-264a</v>
          </cell>
          <cell r="F84" t="str">
            <v>16</v>
          </cell>
          <cell r="G84" t="str">
            <v>64.0</v>
          </cell>
          <cell r="H84" t="str">
            <v>640</v>
          </cell>
          <cell r="I84">
            <v>32.97</v>
          </cell>
          <cell r="J84">
            <v>27.005</v>
          </cell>
          <cell r="K84">
            <v>94.65</v>
          </cell>
          <cell r="L84">
            <v>93.2125</v>
          </cell>
          <cell r="M84">
            <v>5.5114</v>
          </cell>
          <cell r="N84">
            <v>5.4482</v>
          </cell>
        </row>
        <row r="85">
          <cell r="A85" t="str">
            <v>192.168.133.86</v>
          </cell>
          <cell r="B85" t="str">
            <v>科技厅</v>
          </cell>
          <cell r="C85" t="str">
            <v>创新发展研究院支撑创新发展科技服务</v>
          </cell>
          <cell r="D85" t="str">
            <v>2024-03-21 17:26:44</v>
          </cell>
          <cell r="E85" t="str">
            <v>cn-east-220a</v>
          </cell>
          <cell r="F85" t="str">
            <v>8</v>
          </cell>
          <cell r="G85" t="str">
            <v>16.0</v>
          </cell>
          <cell r="H85" t="str">
            <v>540</v>
          </cell>
          <cell r="I85">
            <v>30.68</v>
          </cell>
          <cell r="J85">
            <v>29.525</v>
          </cell>
          <cell r="K85">
            <v>46.73</v>
          </cell>
          <cell r="L85">
            <v>46.47</v>
          </cell>
          <cell r="M85">
            <v>44.5533</v>
          </cell>
          <cell r="N85">
            <v>44.4109</v>
          </cell>
        </row>
        <row r="86">
          <cell r="A86" t="str">
            <v>192.168.133.68</v>
          </cell>
          <cell r="B86" t="str">
            <v>科技厅</v>
          </cell>
          <cell r="C86" t="str">
            <v>创新发展研究院支撑创新发展科技服务</v>
          </cell>
          <cell r="D86" t="str">
            <v>2024-03-21 17:04:52</v>
          </cell>
          <cell r="E86" t="str">
            <v>cn-east-220a</v>
          </cell>
          <cell r="F86" t="str">
            <v>16</v>
          </cell>
          <cell r="G86" t="str">
            <v>64.0</v>
          </cell>
          <cell r="H86" t="str">
            <v>540</v>
          </cell>
          <cell r="I86">
            <v>46.05</v>
          </cell>
          <cell r="J86">
            <v>40.5325</v>
          </cell>
          <cell r="K86">
            <v>36.67</v>
          </cell>
          <cell r="L86">
            <v>36.6225</v>
          </cell>
          <cell r="M86">
            <v>42.8755</v>
          </cell>
          <cell r="N86">
            <v>42.8707</v>
          </cell>
        </row>
        <row r="87">
          <cell r="A87" t="str">
            <v>192.168.133.2</v>
          </cell>
          <cell r="B87" t="str">
            <v>山东省科学技术厅</v>
          </cell>
          <cell r="C87" t="str">
            <v>山东省创新发展研究院支撑创新发展科技服务平台</v>
          </cell>
          <cell r="D87" t="str">
            <v>2024-03-15 15:27:58</v>
          </cell>
          <cell r="E87" t="str">
            <v>cn-east-220a</v>
          </cell>
          <cell r="F87" t="str">
            <v>16</v>
          </cell>
          <cell r="G87" t="str">
            <v>64.0</v>
          </cell>
          <cell r="H87" t="str">
            <v>340</v>
          </cell>
          <cell r="I87">
            <v>0.84</v>
          </cell>
          <cell r="J87">
            <v>0.8275</v>
          </cell>
          <cell r="K87">
            <v>86.22</v>
          </cell>
          <cell r="L87">
            <v>84.7475</v>
          </cell>
          <cell r="M87">
            <v>13.1302</v>
          </cell>
          <cell r="N87">
            <v>13.1301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5"/>
  <sheetViews>
    <sheetView workbookViewId="0">
      <selection activeCell="I1" sqref="I$1:I$1048576"/>
    </sheetView>
  </sheetViews>
  <sheetFormatPr defaultColWidth="9" defaultRowHeight="16.8"/>
  <cols>
    <col min="1" max="1" width="25" style="11" customWidth="1"/>
    <col min="2" max="2" width="10" style="11" hidden="1" customWidth="1"/>
    <col min="3" max="3" width="7.4375" style="11" hidden="1" customWidth="1"/>
    <col min="4" max="4" width="6.33035714285714" style="11" hidden="1" customWidth="1"/>
    <col min="5" max="5" width="9.88392857142857" style="11" hidden="1" customWidth="1"/>
    <col min="6" max="7" width="4.33035714285714" style="11" hidden="1" customWidth="1"/>
    <col min="8" max="8" width="18.3303571428571" style="11" customWidth="1"/>
    <col min="9" max="9" width="55" style="11" customWidth="1"/>
    <col min="10" max="10" width="12.6607142857143" style="11" hidden="1" customWidth="1"/>
    <col min="11" max="11" width="4.33035714285714" style="11" customWidth="1"/>
    <col min="12" max="12" width="5.10714285714286" style="11" customWidth="1"/>
    <col min="13" max="13" width="7.66071428571429" style="11" hidden="1" customWidth="1"/>
    <col min="14" max="14" width="5.33035714285714" style="11" customWidth="1"/>
    <col min="15" max="15" width="4.33035714285714" style="11" customWidth="1"/>
    <col min="16" max="16" width="5.10714285714286" style="11" customWidth="1"/>
    <col min="17" max="17" width="5.33035714285714" style="11" customWidth="1"/>
    <col min="18" max="18" width="12.1071428571429" style="11" customWidth="1"/>
    <col min="19" max="20" width="12.8839285714286" style="11" customWidth="1"/>
    <col min="21" max="21" width="7" style="11" customWidth="1"/>
    <col min="22" max="16384" width="9" style="11"/>
  </cols>
  <sheetData>
    <row r="1" ht="39" customHeight="1" spans="1:29">
      <c r="A1" s="18" t="s">
        <v>0</v>
      </c>
      <c r="B1" s="18" t="s">
        <v>1</v>
      </c>
      <c r="C1" s="18" t="s">
        <v>2</v>
      </c>
      <c r="D1" s="18"/>
      <c r="E1" s="18"/>
      <c r="F1" s="18" t="s">
        <v>3</v>
      </c>
      <c r="G1" s="18" t="s">
        <v>4</v>
      </c>
      <c r="H1" s="18" t="s">
        <v>5</v>
      </c>
      <c r="I1" s="18" t="s">
        <v>6</v>
      </c>
      <c r="J1" s="17"/>
      <c r="K1" s="18" t="s">
        <v>7</v>
      </c>
      <c r="L1" s="18"/>
      <c r="M1" s="18"/>
      <c r="N1" s="18"/>
      <c r="O1" s="44" t="s">
        <v>8</v>
      </c>
      <c r="P1" s="44"/>
      <c r="Q1" s="44"/>
      <c r="R1" s="46"/>
      <c r="S1" s="46"/>
      <c r="T1" s="46"/>
      <c r="U1" s="46"/>
      <c r="V1" s="44" t="s">
        <v>9</v>
      </c>
      <c r="W1" s="44"/>
      <c r="X1" s="44"/>
      <c r="Y1" s="44"/>
      <c r="Z1" s="44"/>
      <c r="AA1" s="44"/>
      <c r="AB1" s="44"/>
      <c r="AC1" s="44"/>
    </row>
    <row r="2" ht="51" spans="1:29">
      <c r="A2" s="20"/>
      <c r="B2" s="20"/>
      <c r="C2" s="20" t="s">
        <v>10</v>
      </c>
      <c r="D2" s="20" t="s">
        <v>11</v>
      </c>
      <c r="E2" s="20" t="s">
        <v>12</v>
      </c>
      <c r="F2" s="20"/>
      <c r="G2" s="20"/>
      <c r="H2" s="20"/>
      <c r="I2" s="20"/>
      <c r="J2" s="20"/>
      <c r="K2" s="43" t="s">
        <v>13</v>
      </c>
      <c r="L2" s="43" t="s">
        <v>14</v>
      </c>
      <c r="M2" s="43" t="s">
        <v>15</v>
      </c>
      <c r="N2" s="43" t="s">
        <v>15</v>
      </c>
      <c r="O2" s="43" t="s">
        <v>13</v>
      </c>
      <c r="P2" s="43" t="s">
        <v>14</v>
      </c>
      <c r="Q2" s="43" t="s">
        <v>15</v>
      </c>
      <c r="R2" s="43" t="s">
        <v>16</v>
      </c>
      <c r="S2" s="43" t="s">
        <v>17</v>
      </c>
      <c r="T2" s="43" t="s">
        <v>18</v>
      </c>
      <c r="U2" s="43" t="s">
        <v>19</v>
      </c>
      <c r="V2" s="48" t="s">
        <v>20</v>
      </c>
      <c r="W2" s="48" t="s">
        <v>21</v>
      </c>
      <c r="X2" s="48" t="s">
        <v>22</v>
      </c>
      <c r="Y2" s="48" t="s">
        <v>23</v>
      </c>
      <c r="Z2" s="48" t="s">
        <v>24</v>
      </c>
      <c r="AA2" s="48" t="s">
        <v>25</v>
      </c>
      <c r="AB2" s="49" t="s">
        <v>26</v>
      </c>
      <c r="AC2" s="49" t="s">
        <v>27</v>
      </c>
    </row>
    <row r="3" ht="34" spans="1:29">
      <c r="A3" s="41" t="s">
        <v>28</v>
      </c>
      <c r="B3" s="20" t="s">
        <v>29</v>
      </c>
      <c r="C3" s="20">
        <v>8</v>
      </c>
      <c r="D3" s="20">
        <v>32</v>
      </c>
      <c r="E3" s="20" t="s">
        <v>30</v>
      </c>
      <c r="F3" s="20"/>
      <c r="G3" s="20">
        <v>1</v>
      </c>
      <c r="H3" s="20" t="s">
        <v>31</v>
      </c>
      <c r="I3" s="20" t="s">
        <v>32</v>
      </c>
      <c r="J3" s="20" t="s">
        <v>33</v>
      </c>
      <c r="K3" s="20">
        <v>8</v>
      </c>
      <c r="L3" s="20">
        <v>32</v>
      </c>
      <c r="M3" s="20" t="s">
        <v>30</v>
      </c>
      <c r="N3" s="20">
        <v>540</v>
      </c>
      <c r="O3" s="43">
        <v>8</v>
      </c>
      <c r="P3" s="43">
        <v>32</v>
      </c>
      <c r="Q3" s="43">
        <v>540</v>
      </c>
      <c r="R3" s="43" t="b">
        <f>K3=O3</f>
        <v>1</v>
      </c>
      <c r="S3" s="43" t="b">
        <f>L3=P3</f>
        <v>1</v>
      </c>
      <c r="T3" s="43" t="b">
        <f>N3=Q3</f>
        <v>1</v>
      </c>
      <c r="U3" s="43"/>
      <c r="V3" s="43">
        <f>VLOOKUP(H3,[1]Sheet3!A:N,9,0)</f>
        <v>26.03</v>
      </c>
      <c r="W3" s="43">
        <f>VLOOKUP(H3,[1]Sheet3!A:N,10,0)</f>
        <v>25.54</v>
      </c>
      <c r="X3" s="43">
        <f>VLOOKUP(H3,[1]Sheet3!A:N,11,0)</f>
        <v>71.5</v>
      </c>
      <c r="Y3" s="43">
        <f>VLOOKUP(H3,[1]Sheet3!A:N,12,0)</f>
        <v>71.49</v>
      </c>
      <c r="Z3" s="43">
        <f>VLOOKUP(H3,[1]Sheet3!A:N,13,0)</f>
        <v>32.6828</v>
      </c>
      <c r="AA3" s="43">
        <f>VLOOKUP(H3,[1]Sheet3!A:N,14,0)</f>
        <v>32.6445</v>
      </c>
      <c r="AB3" s="43">
        <f>Q3*Z3*0.01</f>
        <v>176.48712</v>
      </c>
      <c r="AC3" s="50">
        <f>AB3/N3</f>
        <v>0.326828</v>
      </c>
    </row>
    <row r="4" ht="34" spans="1:29">
      <c r="A4" s="20"/>
      <c r="B4" s="20" t="s">
        <v>29</v>
      </c>
      <c r="C4" s="20">
        <v>8</v>
      </c>
      <c r="D4" s="20">
        <v>32</v>
      </c>
      <c r="E4" s="20" t="s">
        <v>30</v>
      </c>
      <c r="F4" s="20"/>
      <c r="G4" s="20">
        <v>1</v>
      </c>
      <c r="H4" s="20" t="s">
        <v>34</v>
      </c>
      <c r="I4" s="20" t="s">
        <v>32</v>
      </c>
      <c r="J4" s="20" t="s">
        <v>33</v>
      </c>
      <c r="K4" s="20">
        <v>8</v>
      </c>
      <c r="L4" s="20">
        <v>32</v>
      </c>
      <c r="M4" s="20" t="s">
        <v>30</v>
      </c>
      <c r="N4" s="20">
        <v>540</v>
      </c>
      <c r="O4" s="43">
        <v>8</v>
      </c>
      <c r="P4" s="43">
        <v>32</v>
      </c>
      <c r="Q4" s="43">
        <v>540</v>
      </c>
      <c r="R4" s="43" t="b">
        <f t="shared" ref="R4:S35" si="0">K4=O4</f>
        <v>1</v>
      </c>
      <c r="S4" s="43" t="b">
        <f t="shared" si="0"/>
        <v>1</v>
      </c>
      <c r="T4" s="43" t="b">
        <f t="shared" ref="T4:T65" si="1">N4=Q4</f>
        <v>1</v>
      </c>
      <c r="U4" s="43"/>
      <c r="V4" s="43">
        <f>VLOOKUP(H4,[1]Sheet3!A:N,9,0)</f>
        <v>25.27</v>
      </c>
      <c r="W4" s="43">
        <f>VLOOKUP(H4,[1]Sheet3!A:N,10,0)</f>
        <v>25.235</v>
      </c>
      <c r="X4" s="43">
        <f>VLOOKUP(H4,[1]Sheet3!A:N,11,0)</f>
        <v>67.08</v>
      </c>
      <c r="Y4" s="43">
        <f>VLOOKUP(H4,[1]Sheet3!A:N,12,0)</f>
        <v>66.8225</v>
      </c>
      <c r="Z4" s="43">
        <f>VLOOKUP(H4,[1]Sheet3!A:N,13,0)</f>
        <v>36.7929</v>
      </c>
      <c r="AA4" s="43">
        <f>VLOOKUP(H4,[1]Sheet3!A:N,14,0)</f>
        <v>36.7573</v>
      </c>
      <c r="AB4" s="43">
        <f t="shared" ref="AB4:AB65" si="2">Q4*Z4*0.01</f>
        <v>198.68166</v>
      </c>
      <c r="AC4" s="50">
        <f t="shared" ref="AC4:AC65" si="3">AB4/N4</f>
        <v>0.367929</v>
      </c>
    </row>
    <row r="5" ht="34" spans="1:29">
      <c r="A5" s="20"/>
      <c r="B5" s="20" t="s">
        <v>29</v>
      </c>
      <c r="C5" s="20">
        <v>8</v>
      </c>
      <c r="D5" s="20">
        <v>32</v>
      </c>
      <c r="E5" s="20" t="s">
        <v>30</v>
      </c>
      <c r="F5" s="20"/>
      <c r="G5" s="20">
        <v>1</v>
      </c>
      <c r="H5" s="20" t="s">
        <v>35</v>
      </c>
      <c r="I5" s="20" t="s">
        <v>32</v>
      </c>
      <c r="J5" s="20" t="s">
        <v>33</v>
      </c>
      <c r="K5" s="20">
        <v>8</v>
      </c>
      <c r="L5" s="20">
        <v>32</v>
      </c>
      <c r="M5" s="20" t="s">
        <v>30</v>
      </c>
      <c r="N5" s="20">
        <v>540</v>
      </c>
      <c r="O5" s="43">
        <v>8</v>
      </c>
      <c r="P5" s="43">
        <v>32</v>
      </c>
      <c r="Q5" s="43">
        <v>540</v>
      </c>
      <c r="R5" s="43" t="b">
        <f t="shared" si="0"/>
        <v>1</v>
      </c>
      <c r="S5" s="43" t="b">
        <f t="shared" si="0"/>
        <v>1</v>
      </c>
      <c r="T5" s="43" t="b">
        <f t="shared" si="1"/>
        <v>1</v>
      </c>
      <c r="U5" s="43"/>
      <c r="V5" s="43">
        <f>VLOOKUP(H5,[1]Sheet3!A:N,9,0)</f>
        <v>30.17</v>
      </c>
      <c r="W5" s="43">
        <f>VLOOKUP(H5,[1]Sheet3!A:N,10,0)</f>
        <v>29.41</v>
      </c>
      <c r="X5" s="43">
        <f>VLOOKUP(H5,[1]Sheet3!A:N,11,0)</f>
        <v>72.15</v>
      </c>
      <c r="Y5" s="43">
        <f>VLOOKUP(H5,[1]Sheet3!A:N,12,0)</f>
        <v>72.1025</v>
      </c>
      <c r="Z5" s="43">
        <f>VLOOKUP(H5,[1]Sheet3!A:N,13,0)</f>
        <v>35.1682</v>
      </c>
      <c r="AA5" s="43">
        <f>VLOOKUP(H5,[1]Sheet3!A:N,14,0)</f>
        <v>35.1357</v>
      </c>
      <c r="AB5" s="43">
        <f t="shared" si="2"/>
        <v>189.90828</v>
      </c>
      <c r="AC5" s="50">
        <f t="shared" si="3"/>
        <v>0.351682</v>
      </c>
    </row>
    <row r="6" ht="34" spans="1:29">
      <c r="A6" s="20"/>
      <c r="B6" s="20" t="s">
        <v>29</v>
      </c>
      <c r="C6" s="20">
        <v>8</v>
      </c>
      <c r="D6" s="20">
        <v>32</v>
      </c>
      <c r="E6" s="20" t="s">
        <v>30</v>
      </c>
      <c r="F6" s="20"/>
      <c r="G6" s="20">
        <v>1</v>
      </c>
      <c r="H6" s="20" t="s">
        <v>36</v>
      </c>
      <c r="I6" s="20" t="s">
        <v>32</v>
      </c>
      <c r="J6" s="20" t="s">
        <v>33</v>
      </c>
      <c r="K6" s="20">
        <v>8</v>
      </c>
      <c r="L6" s="20">
        <v>32</v>
      </c>
      <c r="M6" s="20" t="s">
        <v>30</v>
      </c>
      <c r="N6" s="20">
        <v>540</v>
      </c>
      <c r="O6" s="43">
        <v>8</v>
      </c>
      <c r="P6" s="43">
        <v>32</v>
      </c>
      <c r="Q6" s="43">
        <v>540</v>
      </c>
      <c r="R6" s="43" t="b">
        <f t="shared" si="0"/>
        <v>1</v>
      </c>
      <c r="S6" s="43" t="b">
        <f t="shared" si="0"/>
        <v>1</v>
      </c>
      <c r="T6" s="43" t="b">
        <f t="shared" si="1"/>
        <v>1</v>
      </c>
      <c r="U6" s="43"/>
      <c r="V6" s="43">
        <f>VLOOKUP(H6,[1]Sheet3!A:N,9,0)</f>
        <v>25.4</v>
      </c>
      <c r="W6" s="43">
        <f>VLOOKUP(H6,[1]Sheet3!A:N,10,0)</f>
        <v>25.275</v>
      </c>
      <c r="X6" s="43">
        <f>VLOOKUP(H6,[1]Sheet3!A:N,11,0)</f>
        <v>68.37</v>
      </c>
      <c r="Y6" s="43">
        <f>VLOOKUP(H6,[1]Sheet3!A:N,12,0)</f>
        <v>68.2575</v>
      </c>
      <c r="Z6" s="43">
        <f>VLOOKUP(H6,[1]Sheet3!A:N,13,0)</f>
        <v>40.6753</v>
      </c>
      <c r="AA6" s="43">
        <f>VLOOKUP(H6,[1]Sheet3!A:N,14,0)</f>
        <v>40.595</v>
      </c>
      <c r="AB6" s="43">
        <f t="shared" si="2"/>
        <v>219.64662</v>
      </c>
      <c r="AC6" s="50">
        <f t="shared" si="3"/>
        <v>0.406753</v>
      </c>
    </row>
    <row r="7" ht="34" spans="1:29">
      <c r="A7" s="20"/>
      <c r="B7" s="20" t="s">
        <v>29</v>
      </c>
      <c r="C7" s="20">
        <v>8</v>
      </c>
      <c r="D7" s="20">
        <v>32</v>
      </c>
      <c r="E7" s="20" t="s">
        <v>30</v>
      </c>
      <c r="F7" s="20"/>
      <c r="G7" s="20">
        <v>1</v>
      </c>
      <c r="H7" s="20" t="s">
        <v>37</v>
      </c>
      <c r="I7" s="20" t="s">
        <v>32</v>
      </c>
      <c r="J7" s="20" t="s">
        <v>33</v>
      </c>
      <c r="K7" s="20">
        <v>8</v>
      </c>
      <c r="L7" s="20">
        <v>32</v>
      </c>
      <c r="M7" s="20" t="s">
        <v>30</v>
      </c>
      <c r="N7" s="20">
        <v>540</v>
      </c>
      <c r="O7" s="43">
        <v>8</v>
      </c>
      <c r="P7" s="43">
        <v>32</v>
      </c>
      <c r="Q7" s="43">
        <v>540</v>
      </c>
      <c r="R7" s="43" t="b">
        <f t="shared" si="0"/>
        <v>1</v>
      </c>
      <c r="S7" s="43" t="b">
        <f t="shared" si="0"/>
        <v>1</v>
      </c>
      <c r="T7" s="43" t="b">
        <f t="shared" si="1"/>
        <v>1</v>
      </c>
      <c r="U7" s="43"/>
      <c r="V7" s="43">
        <f>VLOOKUP(H7,[1]Sheet3!A:N,9,0)</f>
        <v>26.11</v>
      </c>
      <c r="W7" s="43">
        <f>VLOOKUP(H7,[1]Sheet3!A:N,10,0)</f>
        <v>25.5225</v>
      </c>
      <c r="X7" s="43">
        <f>VLOOKUP(H7,[1]Sheet3!A:N,11,0)</f>
        <v>71.88</v>
      </c>
      <c r="Y7" s="43">
        <f>VLOOKUP(H7,[1]Sheet3!A:N,12,0)</f>
        <v>71.8525</v>
      </c>
      <c r="Z7" s="43">
        <f>VLOOKUP(H7,[1]Sheet3!A:N,13,0)</f>
        <v>33.8309</v>
      </c>
      <c r="AA7" s="43">
        <f>VLOOKUP(H7,[1]Sheet3!A:N,14,0)</f>
        <v>33.7733</v>
      </c>
      <c r="AB7" s="43">
        <f t="shared" si="2"/>
        <v>182.68686</v>
      </c>
      <c r="AC7" s="50">
        <f t="shared" si="3"/>
        <v>0.338309</v>
      </c>
    </row>
    <row r="8" ht="34" spans="1:29">
      <c r="A8" s="20"/>
      <c r="B8" s="20" t="s">
        <v>29</v>
      </c>
      <c r="C8" s="20">
        <v>8</v>
      </c>
      <c r="D8" s="20">
        <v>32</v>
      </c>
      <c r="E8" s="20" t="s">
        <v>30</v>
      </c>
      <c r="F8" s="20"/>
      <c r="G8" s="20">
        <v>1</v>
      </c>
      <c r="H8" s="20" t="s">
        <v>38</v>
      </c>
      <c r="I8" s="20" t="s">
        <v>32</v>
      </c>
      <c r="J8" s="20" t="s">
        <v>33</v>
      </c>
      <c r="K8" s="20">
        <v>8</v>
      </c>
      <c r="L8" s="20">
        <v>32</v>
      </c>
      <c r="M8" s="20" t="s">
        <v>30</v>
      </c>
      <c r="N8" s="20">
        <v>540</v>
      </c>
      <c r="O8" s="43">
        <v>8</v>
      </c>
      <c r="P8" s="43">
        <v>32</v>
      </c>
      <c r="Q8" s="43">
        <v>540</v>
      </c>
      <c r="R8" s="43" t="b">
        <f t="shared" si="0"/>
        <v>1</v>
      </c>
      <c r="S8" s="43" t="b">
        <f t="shared" si="0"/>
        <v>1</v>
      </c>
      <c r="T8" s="43" t="b">
        <f t="shared" si="1"/>
        <v>1</v>
      </c>
      <c r="U8" s="43"/>
      <c r="V8" s="43">
        <f>VLOOKUP(H8,[1]Sheet3!A:N,9,0)</f>
        <v>25.49</v>
      </c>
      <c r="W8" s="43">
        <f>VLOOKUP(H8,[1]Sheet3!A:N,10,0)</f>
        <v>25.335</v>
      </c>
      <c r="X8" s="43">
        <f>VLOOKUP(H8,[1]Sheet3!A:N,11,0)</f>
        <v>71.91</v>
      </c>
      <c r="Y8" s="43">
        <f>VLOOKUP(H8,[1]Sheet3!A:N,12,0)</f>
        <v>71.8275</v>
      </c>
      <c r="Z8" s="43">
        <f>VLOOKUP(H8,[1]Sheet3!A:N,13,0)</f>
        <v>32.7388</v>
      </c>
      <c r="AA8" s="43">
        <f>VLOOKUP(H8,[1]Sheet3!A:N,14,0)</f>
        <v>32.6058</v>
      </c>
      <c r="AB8" s="43">
        <f t="shared" si="2"/>
        <v>176.78952</v>
      </c>
      <c r="AC8" s="50">
        <f t="shared" si="3"/>
        <v>0.327388</v>
      </c>
    </row>
    <row r="9" ht="34" spans="1:29">
      <c r="A9" s="20"/>
      <c r="B9" s="20" t="s">
        <v>29</v>
      </c>
      <c r="C9" s="20">
        <v>8</v>
      </c>
      <c r="D9" s="20">
        <v>32</v>
      </c>
      <c r="E9" s="20" t="s">
        <v>30</v>
      </c>
      <c r="F9" s="20"/>
      <c r="G9" s="20">
        <v>1</v>
      </c>
      <c r="H9" s="20" t="s">
        <v>39</v>
      </c>
      <c r="I9" s="20" t="s">
        <v>32</v>
      </c>
      <c r="J9" s="20" t="s">
        <v>33</v>
      </c>
      <c r="K9" s="20">
        <v>8</v>
      </c>
      <c r="L9" s="20">
        <v>32</v>
      </c>
      <c r="M9" s="20" t="s">
        <v>30</v>
      </c>
      <c r="N9" s="20">
        <v>540</v>
      </c>
      <c r="O9" s="43">
        <v>8</v>
      </c>
      <c r="P9" s="43">
        <v>32</v>
      </c>
      <c r="Q9" s="43">
        <v>540</v>
      </c>
      <c r="R9" s="43" t="b">
        <f t="shared" si="0"/>
        <v>1</v>
      </c>
      <c r="S9" s="43" t="b">
        <f t="shared" si="0"/>
        <v>1</v>
      </c>
      <c r="T9" s="43" t="b">
        <f t="shared" si="1"/>
        <v>1</v>
      </c>
      <c r="U9" s="43"/>
      <c r="V9" s="43">
        <f>VLOOKUP(H9,[1]Sheet3!A:N,9,0)</f>
        <v>26.34</v>
      </c>
      <c r="W9" s="43">
        <f>VLOOKUP(H9,[1]Sheet3!A:N,10,0)</f>
        <v>25.725</v>
      </c>
      <c r="X9" s="43">
        <f>VLOOKUP(H9,[1]Sheet3!A:N,11,0)</f>
        <v>71.97</v>
      </c>
      <c r="Y9" s="43">
        <f>VLOOKUP(H9,[1]Sheet3!A:N,12,0)</f>
        <v>71.6525</v>
      </c>
      <c r="Z9" s="43">
        <f>VLOOKUP(H9,[1]Sheet3!A:N,13,0)</f>
        <v>29.3932</v>
      </c>
      <c r="AA9" s="43">
        <f>VLOOKUP(H9,[1]Sheet3!A:N,14,0)</f>
        <v>29.2736</v>
      </c>
      <c r="AB9" s="43">
        <f t="shared" si="2"/>
        <v>158.72328</v>
      </c>
      <c r="AC9" s="50">
        <f t="shared" si="3"/>
        <v>0.293932</v>
      </c>
    </row>
    <row r="10" ht="34" spans="1:29">
      <c r="A10" s="20"/>
      <c r="B10" s="20" t="s">
        <v>29</v>
      </c>
      <c r="C10" s="20">
        <v>8</v>
      </c>
      <c r="D10" s="20">
        <v>32</v>
      </c>
      <c r="E10" s="20" t="s">
        <v>30</v>
      </c>
      <c r="F10" s="20"/>
      <c r="G10" s="20">
        <v>1</v>
      </c>
      <c r="H10" s="20" t="s">
        <v>40</v>
      </c>
      <c r="I10" s="20" t="s">
        <v>32</v>
      </c>
      <c r="J10" s="20" t="s">
        <v>33</v>
      </c>
      <c r="K10" s="20">
        <v>8</v>
      </c>
      <c r="L10" s="20">
        <v>32</v>
      </c>
      <c r="M10" s="20" t="s">
        <v>30</v>
      </c>
      <c r="N10" s="20">
        <v>540</v>
      </c>
      <c r="O10" s="43">
        <v>8</v>
      </c>
      <c r="P10" s="43">
        <v>32</v>
      </c>
      <c r="Q10" s="43">
        <v>540</v>
      </c>
      <c r="R10" s="43" t="b">
        <f t="shared" si="0"/>
        <v>1</v>
      </c>
      <c r="S10" s="43" t="b">
        <f t="shared" si="0"/>
        <v>1</v>
      </c>
      <c r="T10" s="43" t="b">
        <f t="shared" si="1"/>
        <v>1</v>
      </c>
      <c r="U10" s="43"/>
      <c r="V10" s="43">
        <f>VLOOKUP(H10,[1]Sheet3!A:N,9,0)</f>
        <v>26.13</v>
      </c>
      <c r="W10" s="43">
        <f>VLOOKUP(H10,[1]Sheet3!A:N,10,0)</f>
        <v>25.8425</v>
      </c>
      <c r="X10" s="43">
        <f>VLOOKUP(H10,[1]Sheet3!A:N,11,0)</f>
        <v>71.74</v>
      </c>
      <c r="Y10" s="43">
        <f>VLOOKUP(H10,[1]Sheet3!A:N,12,0)</f>
        <v>71.7175</v>
      </c>
      <c r="Z10" s="43">
        <f>VLOOKUP(H10,[1]Sheet3!A:N,13,0)</f>
        <v>30.9488</v>
      </c>
      <c r="AA10" s="43">
        <f>VLOOKUP(H10,[1]Sheet3!A:N,14,0)</f>
        <v>30.9131</v>
      </c>
      <c r="AB10" s="43">
        <f t="shared" si="2"/>
        <v>167.12352</v>
      </c>
      <c r="AC10" s="50">
        <f t="shared" si="3"/>
        <v>0.309488</v>
      </c>
    </row>
    <row r="11" ht="34" spans="1:29">
      <c r="A11" s="20"/>
      <c r="B11" s="20" t="s">
        <v>29</v>
      </c>
      <c r="C11" s="20">
        <v>8</v>
      </c>
      <c r="D11" s="20">
        <v>32</v>
      </c>
      <c r="E11" s="20">
        <v>300</v>
      </c>
      <c r="F11" s="20"/>
      <c r="G11" s="20">
        <v>1</v>
      </c>
      <c r="H11" s="20" t="s">
        <v>41</v>
      </c>
      <c r="I11" s="20" t="s">
        <v>42</v>
      </c>
      <c r="J11" s="20" t="s">
        <v>43</v>
      </c>
      <c r="K11" s="20">
        <v>8</v>
      </c>
      <c r="L11" s="20">
        <v>32</v>
      </c>
      <c r="M11" s="20">
        <v>300</v>
      </c>
      <c r="N11" s="45">
        <v>300</v>
      </c>
      <c r="O11" s="43">
        <v>8</v>
      </c>
      <c r="P11" s="43">
        <v>32</v>
      </c>
      <c r="Q11" s="47">
        <v>840</v>
      </c>
      <c r="R11" s="43" t="b">
        <f t="shared" si="0"/>
        <v>1</v>
      </c>
      <c r="S11" s="43" t="b">
        <f t="shared" si="0"/>
        <v>1</v>
      </c>
      <c r="T11" s="43" t="b">
        <f t="shared" si="1"/>
        <v>0</v>
      </c>
      <c r="U11" s="43">
        <f>Q11-N11</f>
        <v>540</v>
      </c>
      <c r="V11" s="43">
        <f>VLOOKUP(H11,[1]Sheet3!A:N,9,0)</f>
        <v>54.52</v>
      </c>
      <c r="W11" s="43">
        <f>VLOOKUP(H11,[1]Sheet3!A:N,10,0)</f>
        <v>45.7235</v>
      </c>
      <c r="X11" s="43">
        <f>VLOOKUP(H11,[1]Sheet3!A:N,11,0)</f>
        <v>41.53</v>
      </c>
      <c r="Y11" s="43">
        <f>VLOOKUP(H11,[1]Sheet3!A:N,12,0)</f>
        <v>37.0475</v>
      </c>
      <c r="Z11" s="43">
        <f>VLOOKUP(H11,[1]Sheet3!A:N,13,0)</f>
        <v>33.2048</v>
      </c>
      <c r="AA11" s="43">
        <f>VLOOKUP(H11,[1]Sheet3!A:N,14,0)</f>
        <v>33.1045</v>
      </c>
      <c r="AB11" s="43">
        <f t="shared" si="2"/>
        <v>278.92032</v>
      </c>
      <c r="AC11" s="51">
        <f t="shared" si="3"/>
        <v>0.9297344</v>
      </c>
    </row>
    <row r="12" ht="34" spans="1:29">
      <c r="A12" s="20"/>
      <c r="B12" s="20" t="s">
        <v>29</v>
      </c>
      <c r="C12" s="20">
        <v>8</v>
      </c>
      <c r="D12" s="20">
        <v>32</v>
      </c>
      <c r="E12" s="20">
        <v>300</v>
      </c>
      <c r="F12" s="20"/>
      <c r="G12" s="20">
        <v>1</v>
      </c>
      <c r="H12" s="20" t="s">
        <v>44</v>
      </c>
      <c r="I12" s="20" t="s">
        <v>42</v>
      </c>
      <c r="J12" s="20" t="s">
        <v>43</v>
      </c>
      <c r="K12" s="20">
        <v>8</v>
      </c>
      <c r="L12" s="20">
        <v>32</v>
      </c>
      <c r="M12" s="20">
        <v>300</v>
      </c>
      <c r="N12" s="45">
        <v>300</v>
      </c>
      <c r="O12" s="43">
        <v>8</v>
      </c>
      <c r="P12" s="43">
        <v>32</v>
      </c>
      <c r="Q12" s="47">
        <v>340</v>
      </c>
      <c r="R12" s="43" t="b">
        <f t="shared" si="0"/>
        <v>1</v>
      </c>
      <c r="S12" s="43" t="b">
        <f t="shared" si="0"/>
        <v>1</v>
      </c>
      <c r="T12" s="43" t="b">
        <f t="shared" si="1"/>
        <v>0</v>
      </c>
      <c r="U12" s="43">
        <f t="shared" ref="U12:U26" si="4">Q12-N12</f>
        <v>40</v>
      </c>
      <c r="V12" s="43">
        <f>VLOOKUP(H12,[1]Sheet3!A:N,9,0)</f>
        <v>53.4043</v>
      </c>
      <c r="W12" s="43">
        <f>VLOOKUP(H12,[1]Sheet3!A:N,10,0)</f>
        <v>44.9485</v>
      </c>
      <c r="X12" s="43">
        <f>VLOOKUP(H12,[1]Sheet3!A:N,11,0)</f>
        <v>39.49</v>
      </c>
      <c r="Y12" s="43">
        <f>VLOOKUP(H12,[1]Sheet3!A:N,12,0)</f>
        <v>36.7</v>
      </c>
      <c r="Z12" s="43">
        <f>VLOOKUP(H12,[1]Sheet3!A:N,13,0)</f>
        <v>43.1445</v>
      </c>
      <c r="AA12" s="43">
        <f>VLOOKUP(H12,[1]Sheet3!A:N,14,0)</f>
        <v>42.8622</v>
      </c>
      <c r="AB12" s="43">
        <f t="shared" si="2"/>
        <v>146.6913</v>
      </c>
      <c r="AC12" s="50">
        <f t="shared" si="3"/>
        <v>0.488971</v>
      </c>
    </row>
    <row r="13" ht="34" spans="1:29">
      <c r="A13" s="20"/>
      <c r="B13" s="20" t="s">
        <v>29</v>
      </c>
      <c r="C13" s="20">
        <v>8</v>
      </c>
      <c r="D13" s="20">
        <v>32</v>
      </c>
      <c r="E13" s="20">
        <v>300</v>
      </c>
      <c r="F13" s="20"/>
      <c r="G13" s="20">
        <v>1</v>
      </c>
      <c r="H13" s="20" t="s">
        <v>45</v>
      </c>
      <c r="I13" s="20" t="s">
        <v>42</v>
      </c>
      <c r="J13" s="20" t="s">
        <v>43</v>
      </c>
      <c r="K13" s="20">
        <v>8</v>
      </c>
      <c r="L13" s="20">
        <v>32</v>
      </c>
      <c r="M13" s="20">
        <v>300</v>
      </c>
      <c r="N13" s="45">
        <v>300</v>
      </c>
      <c r="O13" s="43">
        <v>8</v>
      </c>
      <c r="P13" s="43">
        <v>32</v>
      </c>
      <c r="Q13" s="47">
        <v>840</v>
      </c>
      <c r="R13" s="43" t="b">
        <f t="shared" si="0"/>
        <v>1</v>
      </c>
      <c r="S13" s="43" t="b">
        <f t="shared" si="0"/>
        <v>1</v>
      </c>
      <c r="T13" s="43" t="b">
        <f t="shared" si="1"/>
        <v>0</v>
      </c>
      <c r="U13" s="43">
        <f t="shared" si="4"/>
        <v>540</v>
      </c>
      <c r="V13" s="43">
        <f>VLOOKUP(H13,[1]Sheet3!A:N,9,0)</f>
        <v>53.91</v>
      </c>
      <c r="W13" s="43">
        <f>VLOOKUP(H13,[1]Sheet3!A:N,10,0)</f>
        <v>47.7327</v>
      </c>
      <c r="X13" s="43">
        <f>VLOOKUP(H13,[1]Sheet3!A:N,11,0)</f>
        <v>39.64</v>
      </c>
      <c r="Y13" s="43">
        <f>VLOOKUP(H13,[1]Sheet3!A:N,12,0)</f>
        <v>37.6325</v>
      </c>
      <c r="Z13" s="43">
        <f>VLOOKUP(H13,[1]Sheet3!A:N,13,0)</f>
        <v>30.9316</v>
      </c>
      <c r="AA13" s="43">
        <f>VLOOKUP(H13,[1]Sheet3!A:N,14,0)</f>
        <v>30.8564</v>
      </c>
      <c r="AB13" s="43">
        <f t="shared" si="2"/>
        <v>259.82544</v>
      </c>
      <c r="AC13" s="51">
        <f t="shared" si="3"/>
        <v>0.8660848</v>
      </c>
    </row>
    <row r="14" ht="34" spans="1:29">
      <c r="A14" s="20"/>
      <c r="B14" s="20" t="s">
        <v>29</v>
      </c>
      <c r="C14" s="20">
        <v>8</v>
      </c>
      <c r="D14" s="20">
        <v>32</v>
      </c>
      <c r="E14" s="20">
        <v>300</v>
      </c>
      <c r="F14" s="20"/>
      <c r="G14" s="20">
        <v>1</v>
      </c>
      <c r="H14" s="20" t="s">
        <v>46</v>
      </c>
      <c r="I14" s="20" t="s">
        <v>42</v>
      </c>
      <c r="J14" s="20" t="s">
        <v>43</v>
      </c>
      <c r="K14" s="20">
        <v>8</v>
      </c>
      <c r="L14" s="20">
        <v>32</v>
      </c>
      <c r="M14" s="20">
        <v>300</v>
      </c>
      <c r="N14" s="45">
        <v>300</v>
      </c>
      <c r="O14" s="43">
        <v>8</v>
      </c>
      <c r="P14" s="43">
        <v>32</v>
      </c>
      <c r="Q14" s="47">
        <v>840</v>
      </c>
      <c r="R14" s="43" t="b">
        <f t="shared" si="0"/>
        <v>1</v>
      </c>
      <c r="S14" s="43" t="b">
        <f t="shared" si="0"/>
        <v>1</v>
      </c>
      <c r="T14" s="43" t="b">
        <f t="shared" si="1"/>
        <v>0</v>
      </c>
      <c r="U14" s="43">
        <f t="shared" si="4"/>
        <v>540</v>
      </c>
      <c r="V14" s="43">
        <f>VLOOKUP(H14,[1]Sheet3!A:N,9,0)</f>
        <v>35.9783</v>
      </c>
      <c r="W14" s="43">
        <f>VLOOKUP(H14,[1]Sheet3!A:N,10,0)</f>
        <v>31.4611</v>
      </c>
      <c r="X14" s="43">
        <f>VLOOKUP(H14,[1]Sheet3!A:N,11,0)</f>
        <v>29.52</v>
      </c>
      <c r="Y14" s="43">
        <f>VLOOKUP(H14,[1]Sheet3!A:N,12,0)</f>
        <v>29.17</v>
      </c>
      <c r="Z14" s="43">
        <f>VLOOKUP(H14,[1]Sheet3!A:N,13,0)</f>
        <v>30.9565</v>
      </c>
      <c r="AA14" s="43">
        <f>VLOOKUP(H14,[1]Sheet3!A:N,14,0)</f>
        <v>30.9443</v>
      </c>
      <c r="AB14" s="43">
        <f t="shared" si="2"/>
        <v>260.0346</v>
      </c>
      <c r="AC14" s="51">
        <f t="shared" si="3"/>
        <v>0.866782</v>
      </c>
    </row>
    <row r="15" ht="34" spans="1:29">
      <c r="A15" s="20"/>
      <c r="B15" s="20" t="s">
        <v>29</v>
      </c>
      <c r="C15" s="20">
        <v>8</v>
      </c>
      <c r="D15" s="20">
        <v>32</v>
      </c>
      <c r="E15" s="20">
        <v>300</v>
      </c>
      <c r="F15" s="20"/>
      <c r="G15" s="20">
        <v>1</v>
      </c>
      <c r="H15" s="20" t="s">
        <v>47</v>
      </c>
      <c r="I15" s="20" t="s">
        <v>42</v>
      </c>
      <c r="J15" s="20" t="s">
        <v>43</v>
      </c>
      <c r="K15" s="20">
        <v>8</v>
      </c>
      <c r="L15" s="20">
        <v>32</v>
      </c>
      <c r="M15" s="20">
        <v>300</v>
      </c>
      <c r="N15" s="45">
        <v>300</v>
      </c>
      <c r="O15" s="43">
        <v>8</v>
      </c>
      <c r="P15" s="43">
        <v>32</v>
      </c>
      <c r="Q15" s="47">
        <v>840</v>
      </c>
      <c r="R15" s="43" t="b">
        <f t="shared" si="0"/>
        <v>1</v>
      </c>
      <c r="S15" s="43" t="b">
        <f t="shared" si="0"/>
        <v>1</v>
      </c>
      <c r="T15" s="43" t="b">
        <f t="shared" si="1"/>
        <v>0</v>
      </c>
      <c r="U15" s="43">
        <f t="shared" si="4"/>
        <v>540</v>
      </c>
      <c r="V15" s="43">
        <f>VLOOKUP(H15,[1]Sheet3!A:N,9,0)</f>
        <v>48.5941</v>
      </c>
      <c r="W15" s="43">
        <f>VLOOKUP(H15,[1]Sheet3!A:N,10,0)</f>
        <v>37.6661</v>
      </c>
      <c r="X15" s="43">
        <f>VLOOKUP(H15,[1]Sheet3!A:N,11,0)</f>
        <v>38.27</v>
      </c>
      <c r="Y15" s="43">
        <f>VLOOKUP(H15,[1]Sheet3!A:N,12,0)</f>
        <v>38.175</v>
      </c>
      <c r="Z15" s="43">
        <f>VLOOKUP(H15,[1]Sheet3!A:N,13,0)</f>
        <v>31.3205</v>
      </c>
      <c r="AA15" s="43">
        <f>VLOOKUP(H15,[1]Sheet3!A:N,14,0)</f>
        <v>31.2466</v>
      </c>
      <c r="AB15" s="43">
        <f t="shared" si="2"/>
        <v>263.0922</v>
      </c>
      <c r="AC15" s="51">
        <f t="shared" si="3"/>
        <v>0.876974</v>
      </c>
    </row>
    <row r="16" ht="34" spans="1:29">
      <c r="A16" s="20"/>
      <c r="B16" s="20" t="s">
        <v>29</v>
      </c>
      <c r="C16" s="20">
        <v>8</v>
      </c>
      <c r="D16" s="20">
        <v>32</v>
      </c>
      <c r="E16" s="20">
        <v>300</v>
      </c>
      <c r="F16" s="20"/>
      <c r="G16" s="20">
        <v>1</v>
      </c>
      <c r="H16" s="20" t="s">
        <v>48</v>
      </c>
      <c r="I16" s="20" t="s">
        <v>42</v>
      </c>
      <c r="J16" s="20" t="s">
        <v>43</v>
      </c>
      <c r="K16" s="20">
        <v>8</v>
      </c>
      <c r="L16" s="20">
        <v>32</v>
      </c>
      <c r="M16" s="20">
        <v>300</v>
      </c>
      <c r="N16" s="45">
        <v>300</v>
      </c>
      <c r="O16" s="43">
        <v>8</v>
      </c>
      <c r="P16" s="43">
        <v>32</v>
      </c>
      <c r="Q16" s="47">
        <v>340</v>
      </c>
      <c r="R16" s="43" t="b">
        <f t="shared" si="0"/>
        <v>1</v>
      </c>
      <c r="S16" s="43" t="b">
        <f t="shared" si="0"/>
        <v>1</v>
      </c>
      <c r="T16" s="43" t="b">
        <f t="shared" si="1"/>
        <v>0</v>
      </c>
      <c r="U16" s="43">
        <f t="shared" si="4"/>
        <v>40</v>
      </c>
      <c r="V16" s="43">
        <f>VLOOKUP(H16,[1]Sheet3!A:N,9,0)</f>
        <v>26.21</v>
      </c>
      <c r="W16" s="43">
        <f>VLOOKUP(H16,[1]Sheet3!A:N,10,0)</f>
        <v>25.7313</v>
      </c>
      <c r="X16" s="43">
        <f>VLOOKUP(H16,[1]Sheet3!A:N,11,0)</f>
        <v>4.76</v>
      </c>
      <c r="Y16" s="43">
        <f>VLOOKUP(H16,[1]Sheet3!A:N,12,0)</f>
        <v>4.7475</v>
      </c>
      <c r="Z16" s="43">
        <f>VLOOKUP(H16,[1]Sheet3!A:N,13,0)</f>
        <v>61.9794</v>
      </c>
      <c r="AA16" s="43">
        <f>VLOOKUP(H16,[1]Sheet3!A:N,14,0)</f>
        <v>61.8555</v>
      </c>
      <c r="AB16" s="43">
        <f t="shared" si="2"/>
        <v>210.72996</v>
      </c>
      <c r="AC16" s="51">
        <f t="shared" si="3"/>
        <v>0.7024332</v>
      </c>
    </row>
    <row r="17" ht="34" spans="1:29">
      <c r="A17" s="20"/>
      <c r="B17" s="20" t="s">
        <v>29</v>
      </c>
      <c r="C17" s="20">
        <v>8</v>
      </c>
      <c r="D17" s="20">
        <v>32</v>
      </c>
      <c r="E17" s="20">
        <v>300</v>
      </c>
      <c r="F17" s="20"/>
      <c r="G17" s="20">
        <v>1</v>
      </c>
      <c r="H17" s="20" t="s">
        <v>49</v>
      </c>
      <c r="I17" s="20" t="s">
        <v>42</v>
      </c>
      <c r="J17" s="20" t="s">
        <v>43</v>
      </c>
      <c r="K17" s="20">
        <v>8</v>
      </c>
      <c r="L17" s="20">
        <v>32</v>
      </c>
      <c r="M17" s="20">
        <v>300</v>
      </c>
      <c r="N17" s="45">
        <v>300</v>
      </c>
      <c r="O17" s="43">
        <v>8</v>
      </c>
      <c r="P17" s="43">
        <v>32</v>
      </c>
      <c r="Q17" s="47">
        <v>840</v>
      </c>
      <c r="R17" s="43" t="b">
        <f t="shared" si="0"/>
        <v>1</v>
      </c>
      <c r="S17" s="43" t="b">
        <f t="shared" si="0"/>
        <v>1</v>
      </c>
      <c r="T17" s="43" t="b">
        <f t="shared" si="1"/>
        <v>0</v>
      </c>
      <c r="U17" s="43">
        <f t="shared" si="4"/>
        <v>540</v>
      </c>
      <c r="V17" s="43">
        <f>VLOOKUP(H17,[1]Sheet3!A:N,9,0)</f>
        <v>43.4617</v>
      </c>
      <c r="W17" s="43">
        <f>VLOOKUP(H17,[1]Sheet3!A:N,10,0)</f>
        <v>35.1641</v>
      </c>
      <c r="X17" s="43">
        <f>VLOOKUP(H17,[1]Sheet3!A:N,11,0)</f>
        <v>40.68</v>
      </c>
      <c r="Y17" s="43">
        <f>VLOOKUP(H17,[1]Sheet3!A:N,12,0)</f>
        <v>40.6575</v>
      </c>
      <c r="Z17" s="43">
        <f>VLOOKUP(H17,[1]Sheet3!A:N,13,0)</f>
        <v>33.0152</v>
      </c>
      <c r="AA17" s="43">
        <f>VLOOKUP(H17,[1]Sheet3!A:N,14,0)</f>
        <v>32.9154</v>
      </c>
      <c r="AB17" s="43">
        <f t="shared" si="2"/>
        <v>277.32768</v>
      </c>
      <c r="AC17" s="51">
        <f t="shared" si="3"/>
        <v>0.9244256</v>
      </c>
    </row>
    <row r="18" ht="34" spans="1:29">
      <c r="A18" s="20"/>
      <c r="B18" s="20" t="s">
        <v>29</v>
      </c>
      <c r="C18" s="20">
        <v>8</v>
      </c>
      <c r="D18" s="20">
        <v>32</v>
      </c>
      <c r="E18" s="20">
        <v>300</v>
      </c>
      <c r="F18" s="20"/>
      <c r="G18" s="20">
        <v>1</v>
      </c>
      <c r="H18" s="20" t="s">
        <v>50</v>
      </c>
      <c r="I18" s="20" t="s">
        <v>42</v>
      </c>
      <c r="J18" s="20" t="s">
        <v>43</v>
      </c>
      <c r="K18" s="20">
        <v>8</v>
      </c>
      <c r="L18" s="20">
        <v>32</v>
      </c>
      <c r="M18" s="20">
        <v>300</v>
      </c>
      <c r="N18" s="45">
        <v>300</v>
      </c>
      <c r="O18" s="43">
        <v>8</v>
      </c>
      <c r="P18" s="43">
        <v>32</v>
      </c>
      <c r="Q18" s="47">
        <v>840</v>
      </c>
      <c r="R18" s="43" t="b">
        <f t="shared" si="0"/>
        <v>1</v>
      </c>
      <c r="S18" s="43" t="b">
        <f t="shared" si="0"/>
        <v>1</v>
      </c>
      <c r="T18" s="43" t="b">
        <f t="shared" si="1"/>
        <v>0</v>
      </c>
      <c r="U18" s="43">
        <f t="shared" si="4"/>
        <v>540</v>
      </c>
      <c r="V18" s="43">
        <f>VLOOKUP(H18,[1]Sheet3!A:N,9,0)</f>
        <v>62.1825</v>
      </c>
      <c r="W18" s="43">
        <f>VLOOKUP(H18,[1]Sheet3!A:N,10,0)</f>
        <v>54.2474</v>
      </c>
      <c r="X18" s="43">
        <f>VLOOKUP(H18,[1]Sheet3!A:N,11,0)</f>
        <v>44.17</v>
      </c>
      <c r="Y18" s="43">
        <f>VLOOKUP(H18,[1]Sheet3!A:N,12,0)</f>
        <v>43.965</v>
      </c>
      <c r="Z18" s="43">
        <f>VLOOKUP(H18,[1]Sheet3!A:N,13,0)</f>
        <v>35.3624</v>
      </c>
      <c r="AA18" s="43">
        <f>VLOOKUP(H18,[1]Sheet3!A:N,14,0)</f>
        <v>35.2996</v>
      </c>
      <c r="AB18" s="43">
        <f t="shared" si="2"/>
        <v>297.04416</v>
      </c>
      <c r="AC18" s="51">
        <f t="shared" si="3"/>
        <v>0.9901472</v>
      </c>
    </row>
    <row r="19" ht="34" spans="1:29">
      <c r="A19" s="20"/>
      <c r="B19" s="20" t="s">
        <v>29</v>
      </c>
      <c r="C19" s="20">
        <v>8</v>
      </c>
      <c r="D19" s="20">
        <v>32</v>
      </c>
      <c r="E19" s="20">
        <v>300</v>
      </c>
      <c r="F19" s="20"/>
      <c r="G19" s="20">
        <v>1</v>
      </c>
      <c r="H19" s="20" t="s">
        <v>51</v>
      </c>
      <c r="I19" s="20" t="s">
        <v>42</v>
      </c>
      <c r="J19" s="20" t="s">
        <v>43</v>
      </c>
      <c r="K19" s="20">
        <v>8</v>
      </c>
      <c r="L19" s="20">
        <v>32</v>
      </c>
      <c r="M19" s="20">
        <v>300</v>
      </c>
      <c r="N19" s="45">
        <v>300</v>
      </c>
      <c r="O19" s="43">
        <v>8</v>
      </c>
      <c r="P19" s="43">
        <v>32</v>
      </c>
      <c r="Q19" s="47">
        <v>840</v>
      </c>
      <c r="R19" s="43" t="b">
        <f t="shared" si="0"/>
        <v>1</v>
      </c>
      <c r="S19" s="43" t="b">
        <f t="shared" si="0"/>
        <v>1</v>
      </c>
      <c r="T19" s="43" t="b">
        <f t="shared" si="1"/>
        <v>0</v>
      </c>
      <c r="U19" s="43">
        <f t="shared" si="4"/>
        <v>540</v>
      </c>
      <c r="V19" s="43">
        <f>VLOOKUP(H19,[1]Sheet3!A:N,9,0)</f>
        <v>37.9792</v>
      </c>
      <c r="W19" s="43">
        <f>VLOOKUP(H19,[1]Sheet3!A:N,10,0)</f>
        <v>32.8549</v>
      </c>
      <c r="X19" s="43">
        <f>VLOOKUP(H19,[1]Sheet3!A:N,11,0)</f>
        <v>34.04</v>
      </c>
      <c r="Y19" s="43">
        <f>VLOOKUP(H19,[1]Sheet3!A:N,12,0)</f>
        <v>34.005</v>
      </c>
      <c r="Z19" s="43">
        <f>VLOOKUP(H19,[1]Sheet3!A:N,13,0)</f>
        <v>32.6811</v>
      </c>
      <c r="AA19" s="43">
        <f>VLOOKUP(H19,[1]Sheet3!A:N,14,0)</f>
        <v>32.463</v>
      </c>
      <c r="AB19" s="43">
        <f t="shared" si="2"/>
        <v>274.52124</v>
      </c>
      <c r="AC19" s="51">
        <f t="shared" si="3"/>
        <v>0.9150708</v>
      </c>
    </row>
    <row r="20" ht="34" spans="1:29">
      <c r="A20" s="20"/>
      <c r="B20" s="20" t="s">
        <v>29</v>
      </c>
      <c r="C20" s="20">
        <v>8</v>
      </c>
      <c r="D20" s="20">
        <v>32</v>
      </c>
      <c r="E20" s="20">
        <v>300</v>
      </c>
      <c r="F20" s="20"/>
      <c r="G20" s="20">
        <v>1</v>
      </c>
      <c r="H20" s="20" t="s">
        <v>52</v>
      </c>
      <c r="I20" s="20" t="s">
        <v>42</v>
      </c>
      <c r="J20" s="20" t="s">
        <v>43</v>
      </c>
      <c r="K20" s="20">
        <v>8</v>
      </c>
      <c r="L20" s="20">
        <v>32</v>
      </c>
      <c r="M20" s="20">
        <v>300</v>
      </c>
      <c r="N20" s="45">
        <v>300</v>
      </c>
      <c r="O20" s="43">
        <v>8</v>
      </c>
      <c r="P20" s="43">
        <v>32</v>
      </c>
      <c r="Q20" s="47">
        <v>840</v>
      </c>
      <c r="R20" s="43" t="b">
        <f t="shared" si="0"/>
        <v>1</v>
      </c>
      <c r="S20" s="43" t="b">
        <f t="shared" si="0"/>
        <v>1</v>
      </c>
      <c r="T20" s="43" t="b">
        <f t="shared" si="1"/>
        <v>0</v>
      </c>
      <c r="U20" s="43">
        <f t="shared" si="4"/>
        <v>540</v>
      </c>
      <c r="V20" s="43">
        <f>VLOOKUP(H20,[1]Sheet3!A:N,9,0)</f>
        <v>66.1981</v>
      </c>
      <c r="W20" s="43">
        <f>VLOOKUP(H20,[1]Sheet3!A:N,10,0)</f>
        <v>55.0591</v>
      </c>
      <c r="X20" s="43">
        <f>VLOOKUP(H20,[1]Sheet3!A:N,11,0)</f>
        <v>45.93</v>
      </c>
      <c r="Y20" s="43">
        <f>VLOOKUP(H20,[1]Sheet3!A:N,12,0)</f>
        <v>43.1025</v>
      </c>
      <c r="Z20" s="43">
        <f>VLOOKUP(H20,[1]Sheet3!A:N,13,0)</f>
        <v>31.197</v>
      </c>
      <c r="AA20" s="43">
        <f>VLOOKUP(H20,[1]Sheet3!A:N,14,0)</f>
        <v>31.1496</v>
      </c>
      <c r="AB20" s="43">
        <f t="shared" si="2"/>
        <v>262.0548</v>
      </c>
      <c r="AC20" s="51">
        <f t="shared" si="3"/>
        <v>0.873516</v>
      </c>
    </row>
    <row r="21" ht="34" spans="1:29">
      <c r="A21" s="20"/>
      <c r="B21" s="20" t="s">
        <v>29</v>
      </c>
      <c r="C21" s="20">
        <v>8</v>
      </c>
      <c r="D21" s="20">
        <v>32</v>
      </c>
      <c r="E21" s="20">
        <v>300</v>
      </c>
      <c r="F21" s="20"/>
      <c r="G21" s="20">
        <v>1</v>
      </c>
      <c r="H21" s="20" t="s">
        <v>53</v>
      </c>
      <c r="I21" s="20" t="s">
        <v>42</v>
      </c>
      <c r="J21" s="20" t="s">
        <v>43</v>
      </c>
      <c r="K21" s="20">
        <v>8</v>
      </c>
      <c r="L21" s="20">
        <v>32</v>
      </c>
      <c r="M21" s="20">
        <v>300</v>
      </c>
      <c r="N21" s="45">
        <v>300</v>
      </c>
      <c r="O21" s="43">
        <v>8</v>
      </c>
      <c r="P21" s="43">
        <v>32</v>
      </c>
      <c r="Q21" s="47">
        <v>340</v>
      </c>
      <c r="R21" s="43" t="b">
        <f t="shared" si="0"/>
        <v>1</v>
      </c>
      <c r="S21" s="43" t="b">
        <f t="shared" si="0"/>
        <v>1</v>
      </c>
      <c r="T21" s="43" t="b">
        <f t="shared" si="1"/>
        <v>0</v>
      </c>
      <c r="U21" s="43">
        <f t="shared" si="4"/>
        <v>40</v>
      </c>
      <c r="V21" s="43">
        <f>VLOOKUP(H21,[1]Sheet3!A:N,9,0)</f>
        <v>41.41</v>
      </c>
      <c r="W21" s="43">
        <f>VLOOKUP(H21,[1]Sheet3!A:N,10,0)</f>
        <v>40.205</v>
      </c>
      <c r="X21" s="43">
        <f>VLOOKUP(H21,[1]Sheet3!A:N,11,0)</f>
        <v>30.17</v>
      </c>
      <c r="Y21" s="43">
        <f>VLOOKUP(H21,[1]Sheet3!A:N,12,0)</f>
        <v>30.075</v>
      </c>
      <c r="Z21" s="43">
        <f>VLOOKUP(H21,[1]Sheet3!A:N,13,0)</f>
        <v>29.3213</v>
      </c>
      <c r="AA21" s="43">
        <f>VLOOKUP(H21,[1]Sheet3!A:N,14,0)</f>
        <v>29.1617</v>
      </c>
      <c r="AB21" s="43">
        <f t="shared" si="2"/>
        <v>99.69242</v>
      </c>
      <c r="AC21" s="51">
        <f t="shared" si="3"/>
        <v>0.332308066666667</v>
      </c>
    </row>
    <row r="22" ht="34" spans="1:29">
      <c r="A22" s="20"/>
      <c r="B22" s="20" t="s">
        <v>29</v>
      </c>
      <c r="C22" s="20">
        <v>8</v>
      </c>
      <c r="D22" s="20">
        <v>32</v>
      </c>
      <c r="E22" s="20">
        <v>300</v>
      </c>
      <c r="F22" s="20"/>
      <c r="G22" s="20">
        <v>1</v>
      </c>
      <c r="H22" s="20" t="s">
        <v>54</v>
      </c>
      <c r="I22" s="20" t="s">
        <v>42</v>
      </c>
      <c r="J22" s="20" t="s">
        <v>43</v>
      </c>
      <c r="K22" s="20">
        <v>8</v>
      </c>
      <c r="L22" s="20">
        <v>32</v>
      </c>
      <c r="M22" s="20">
        <v>300</v>
      </c>
      <c r="N22" s="45">
        <v>300</v>
      </c>
      <c r="O22" s="43">
        <v>8</v>
      </c>
      <c r="P22" s="43">
        <v>32</v>
      </c>
      <c r="Q22" s="47">
        <v>840</v>
      </c>
      <c r="R22" s="43" t="b">
        <f t="shared" si="0"/>
        <v>1</v>
      </c>
      <c r="S22" s="43" t="b">
        <f t="shared" si="0"/>
        <v>1</v>
      </c>
      <c r="T22" s="43" t="b">
        <f t="shared" si="1"/>
        <v>0</v>
      </c>
      <c r="U22" s="43">
        <f t="shared" si="4"/>
        <v>540</v>
      </c>
      <c r="V22" s="43">
        <f>VLOOKUP(H22,[1]Sheet3!A:N,9,0)</f>
        <v>53.297</v>
      </c>
      <c r="W22" s="43">
        <f>VLOOKUP(H22,[1]Sheet3!A:N,10,0)</f>
        <v>39.8485</v>
      </c>
      <c r="X22" s="43">
        <f>VLOOKUP(H22,[1]Sheet3!A:N,11,0)</f>
        <v>39.23</v>
      </c>
      <c r="Y22" s="43">
        <f>VLOOKUP(H22,[1]Sheet3!A:N,12,0)</f>
        <v>39.145</v>
      </c>
      <c r="Z22" s="43">
        <f>VLOOKUP(H22,[1]Sheet3!A:N,13,0)</f>
        <v>30.623</v>
      </c>
      <c r="AA22" s="43">
        <f>VLOOKUP(H22,[1]Sheet3!A:N,14,0)</f>
        <v>30.5375</v>
      </c>
      <c r="AB22" s="43">
        <f t="shared" si="2"/>
        <v>257.2332</v>
      </c>
      <c r="AC22" s="51">
        <f t="shared" si="3"/>
        <v>0.857444</v>
      </c>
    </row>
    <row r="23" ht="34" spans="1:29">
      <c r="A23" s="20"/>
      <c r="B23" s="20" t="s">
        <v>29</v>
      </c>
      <c r="C23" s="20">
        <v>8</v>
      </c>
      <c r="D23" s="20">
        <v>32</v>
      </c>
      <c r="E23" s="20" t="s">
        <v>55</v>
      </c>
      <c r="F23" s="20"/>
      <c r="G23" s="20">
        <v>1</v>
      </c>
      <c r="H23" s="20" t="s">
        <v>56</v>
      </c>
      <c r="I23" s="20" t="s">
        <v>57</v>
      </c>
      <c r="J23" s="20" t="s">
        <v>58</v>
      </c>
      <c r="K23" s="20">
        <v>8</v>
      </c>
      <c r="L23" s="20">
        <v>32</v>
      </c>
      <c r="M23" s="20" t="s">
        <v>55</v>
      </c>
      <c r="N23" s="45">
        <v>140</v>
      </c>
      <c r="O23" s="43">
        <v>8</v>
      </c>
      <c r="P23" s="43">
        <v>32</v>
      </c>
      <c r="Q23" s="47">
        <v>340</v>
      </c>
      <c r="R23" s="43" t="b">
        <f t="shared" si="0"/>
        <v>1</v>
      </c>
      <c r="S23" s="43" t="b">
        <f t="shared" si="0"/>
        <v>1</v>
      </c>
      <c r="T23" s="43" t="b">
        <f t="shared" si="1"/>
        <v>0</v>
      </c>
      <c r="U23" s="43">
        <f t="shared" si="4"/>
        <v>200</v>
      </c>
      <c r="V23" s="43">
        <f>VLOOKUP(H23,[1]Sheet3!A:N,9,0)</f>
        <v>39.53</v>
      </c>
      <c r="W23" s="43">
        <f>VLOOKUP(H23,[1]Sheet3!A:N,10,0)</f>
        <v>39.4575</v>
      </c>
      <c r="X23" s="43">
        <f>VLOOKUP(H23,[1]Sheet3!A:N,11,0)</f>
        <v>27.04</v>
      </c>
      <c r="Y23" s="43">
        <f>VLOOKUP(H23,[1]Sheet3!A:N,12,0)</f>
        <v>26.9775</v>
      </c>
      <c r="Z23" s="43">
        <f>VLOOKUP(H23,[1]Sheet3!A:N,13,0)</f>
        <v>34.3132</v>
      </c>
      <c r="AA23" s="43">
        <f>VLOOKUP(H23,[1]Sheet3!A:N,14,0)</f>
        <v>34.3033</v>
      </c>
      <c r="AB23" s="43">
        <f t="shared" si="2"/>
        <v>116.66488</v>
      </c>
      <c r="AC23" s="51">
        <f t="shared" si="3"/>
        <v>0.833320571428572</v>
      </c>
    </row>
    <row r="24" ht="34" spans="1:29">
      <c r="A24" s="20"/>
      <c r="B24" s="20" t="s">
        <v>29</v>
      </c>
      <c r="C24" s="20">
        <v>8</v>
      </c>
      <c r="D24" s="20">
        <v>32</v>
      </c>
      <c r="E24" s="20" t="s">
        <v>55</v>
      </c>
      <c r="F24" s="20"/>
      <c r="G24" s="20">
        <v>1</v>
      </c>
      <c r="H24" s="20" t="s">
        <v>59</v>
      </c>
      <c r="I24" s="20" t="s">
        <v>57</v>
      </c>
      <c r="J24" s="20" t="s">
        <v>58</v>
      </c>
      <c r="K24" s="20">
        <v>8</v>
      </c>
      <c r="L24" s="20">
        <v>32</v>
      </c>
      <c r="M24" s="20" t="s">
        <v>55</v>
      </c>
      <c r="N24" s="45">
        <v>140</v>
      </c>
      <c r="O24" s="43">
        <v>8</v>
      </c>
      <c r="P24" s="43">
        <v>32</v>
      </c>
      <c r="Q24" s="47">
        <v>340</v>
      </c>
      <c r="R24" s="43" t="b">
        <f t="shared" si="0"/>
        <v>1</v>
      </c>
      <c r="S24" s="43" t="b">
        <f t="shared" si="0"/>
        <v>1</v>
      </c>
      <c r="T24" s="43" t="b">
        <f t="shared" si="1"/>
        <v>0</v>
      </c>
      <c r="U24" s="43">
        <f t="shared" si="4"/>
        <v>200</v>
      </c>
      <c r="V24" s="43">
        <f>VLOOKUP(H24,[1]Sheet3!A:N,9,0)</f>
        <v>39.04</v>
      </c>
      <c r="W24" s="43">
        <f>VLOOKUP(H24,[1]Sheet3!A:N,10,0)</f>
        <v>39.0175</v>
      </c>
      <c r="X24" s="43">
        <f>VLOOKUP(H24,[1]Sheet3!A:N,11,0)</f>
        <v>17.56</v>
      </c>
      <c r="Y24" s="43">
        <f>VLOOKUP(H24,[1]Sheet3!A:N,12,0)</f>
        <v>17.4025</v>
      </c>
      <c r="Z24" s="43">
        <f>VLOOKUP(H24,[1]Sheet3!A:N,13,0)</f>
        <v>36.0896</v>
      </c>
      <c r="AA24" s="43">
        <f>VLOOKUP(H24,[1]Sheet3!A:N,14,0)</f>
        <v>36.0866</v>
      </c>
      <c r="AB24" s="43">
        <f t="shared" si="2"/>
        <v>122.70464</v>
      </c>
      <c r="AC24" s="51">
        <f t="shared" si="3"/>
        <v>0.876461714285714</v>
      </c>
    </row>
    <row r="25" ht="34" spans="1:29">
      <c r="A25" s="20"/>
      <c r="B25" s="20" t="s">
        <v>29</v>
      </c>
      <c r="C25" s="20">
        <v>8</v>
      </c>
      <c r="D25" s="20">
        <v>32</v>
      </c>
      <c r="E25" s="20" t="s">
        <v>55</v>
      </c>
      <c r="F25" s="20"/>
      <c r="G25" s="20">
        <v>1</v>
      </c>
      <c r="H25" s="20" t="s">
        <v>60</v>
      </c>
      <c r="I25" s="20" t="s">
        <v>57</v>
      </c>
      <c r="J25" s="20" t="s">
        <v>58</v>
      </c>
      <c r="K25" s="20">
        <v>8</v>
      </c>
      <c r="L25" s="20">
        <v>32</v>
      </c>
      <c r="M25" s="20" t="s">
        <v>55</v>
      </c>
      <c r="N25" s="45">
        <v>140</v>
      </c>
      <c r="O25" s="43">
        <v>8</v>
      </c>
      <c r="P25" s="43">
        <v>32</v>
      </c>
      <c r="Q25" s="47">
        <v>340</v>
      </c>
      <c r="R25" s="43" t="b">
        <f t="shared" si="0"/>
        <v>1</v>
      </c>
      <c r="S25" s="43" t="b">
        <f t="shared" si="0"/>
        <v>1</v>
      </c>
      <c r="T25" s="43" t="b">
        <f t="shared" si="1"/>
        <v>0</v>
      </c>
      <c r="U25" s="43">
        <f t="shared" si="4"/>
        <v>200</v>
      </c>
      <c r="V25" s="43">
        <f>VLOOKUP(H25,[1]Sheet3!A:N,9,0)</f>
        <v>38.99</v>
      </c>
      <c r="W25" s="43">
        <f>VLOOKUP(H25,[1]Sheet3!A:N,10,0)</f>
        <v>38.9625</v>
      </c>
      <c r="X25" s="43">
        <f>VLOOKUP(H25,[1]Sheet3!A:N,11,0)</f>
        <v>17.4</v>
      </c>
      <c r="Y25" s="43">
        <f>VLOOKUP(H25,[1]Sheet3!A:N,12,0)</f>
        <v>17.3175</v>
      </c>
      <c r="Z25" s="43">
        <f>VLOOKUP(H25,[1]Sheet3!A:N,13,0)</f>
        <v>32.5386</v>
      </c>
      <c r="AA25" s="43">
        <f>VLOOKUP(H25,[1]Sheet3!A:N,14,0)</f>
        <v>32.5358</v>
      </c>
      <c r="AB25" s="43">
        <f t="shared" si="2"/>
        <v>110.63124</v>
      </c>
      <c r="AC25" s="51">
        <f t="shared" si="3"/>
        <v>0.790223142857143</v>
      </c>
    </row>
    <row r="26" ht="34" spans="1:29">
      <c r="A26" s="20"/>
      <c r="B26" s="20" t="s">
        <v>29</v>
      </c>
      <c r="C26" s="20">
        <v>8</v>
      </c>
      <c r="D26" s="20">
        <v>32</v>
      </c>
      <c r="E26" s="20" t="s">
        <v>55</v>
      </c>
      <c r="F26" s="20"/>
      <c r="G26" s="20">
        <v>1</v>
      </c>
      <c r="H26" s="20" t="s">
        <v>61</v>
      </c>
      <c r="I26" s="20" t="s">
        <v>62</v>
      </c>
      <c r="J26" s="20" t="s">
        <v>58</v>
      </c>
      <c r="K26" s="20">
        <v>8</v>
      </c>
      <c r="L26" s="20">
        <v>32</v>
      </c>
      <c r="M26" s="20" t="s">
        <v>55</v>
      </c>
      <c r="N26" s="45">
        <v>140</v>
      </c>
      <c r="O26" s="43">
        <v>8</v>
      </c>
      <c r="P26" s="43">
        <v>32</v>
      </c>
      <c r="Q26" s="47">
        <v>340</v>
      </c>
      <c r="R26" s="43" t="b">
        <f t="shared" si="0"/>
        <v>1</v>
      </c>
      <c r="S26" s="43" t="b">
        <f t="shared" si="0"/>
        <v>1</v>
      </c>
      <c r="T26" s="43" t="b">
        <f t="shared" si="1"/>
        <v>0</v>
      </c>
      <c r="U26" s="43">
        <f t="shared" si="4"/>
        <v>200</v>
      </c>
      <c r="V26" s="43">
        <f>VLOOKUP(H26,[1]Sheet3!A:N,9,0)</f>
        <v>38.98</v>
      </c>
      <c r="W26" s="43">
        <f>VLOOKUP(H26,[1]Sheet3!A:N,10,0)</f>
        <v>38.9575</v>
      </c>
      <c r="X26" s="43">
        <f>VLOOKUP(H26,[1]Sheet3!A:N,11,0)</f>
        <v>22.03</v>
      </c>
      <c r="Y26" s="43">
        <f>VLOOKUP(H26,[1]Sheet3!A:N,12,0)</f>
        <v>21.9375</v>
      </c>
      <c r="Z26" s="43">
        <f>VLOOKUP(H26,[1]Sheet3!A:N,13,0)</f>
        <v>36.144</v>
      </c>
      <c r="AA26" s="43">
        <f>VLOOKUP(H26,[1]Sheet3!A:N,14,0)</f>
        <v>36.1385</v>
      </c>
      <c r="AB26" s="43">
        <f t="shared" si="2"/>
        <v>122.8896</v>
      </c>
      <c r="AC26" s="51">
        <f t="shared" si="3"/>
        <v>0.877782857142857</v>
      </c>
    </row>
    <row r="27" ht="34" spans="1:29">
      <c r="A27" s="20"/>
      <c r="B27" s="20" t="s">
        <v>29</v>
      </c>
      <c r="C27" s="20">
        <v>8</v>
      </c>
      <c r="D27" s="20">
        <v>32</v>
      </c>
      <c r="E27" s="20" t="s">
        <v>55</v>
      </c>
      <c r="F27" s="20"/>
      <c r="G27" s="20">
        <v>1</v>
      </c>
      <c r="H27" s="20" t="s">
        <v>63</v>
      </c>
      <c r="I27" s="20" t="s">
        <v>62</v>
      </c>
      <c r="J27" s="20" t="s">
        <v>58</v>
      </c>
      <c r="K27" s="20">
        <v>8</v>
      </c>
      <c r="L27" s="20">
        <v>32</v>
      </c>
      <c r="M27" s="20" t="s">
        <v>55</v>
      </c>
      <c r="N27" s="20">
        <v>140</v>
      </c>
      <c r="O27" s="43">
        <v>8</v>
      </c>
      <c r="P27" s="43">
        <v>32</v>
      </c>
      <c r="Q27" s="43">
        <v>140</v>
      </c>
      <c r="R27" s="43" t="b">
        <f t="shared" si="0"/>
        <v>1</v>
      </c>
      <c r="S27" s="43" t="b">
        <f t="shared" si="0"/>
        <v>1</v>
      </c>
      <c r="T27" s="43" t="b">
        <f t="shared" si="1"/>
        <v>1</v>
      </c>
      <c r="U27" s="43"/>
      <c r="V27" s="43">
        <f>VLOOKUP(H27,[1]Sheet3!A:N,9,0)</f>
        <v>38.94</v>
      </c>
      <c r="W27" s="43">
        <f>VLOOKUP(H27,[1]Sheet3!A:N,10,0)</f>
        <v>38.91</v>
      </c>
      <c r="X27" s="43">
        <f>VLOOKUP(H27,[1]Sheet3!A:N,11,0)</f>
        <v>18.46</v>
      </c>
      <c r="Y27" s="43">
        <f>VLOOKUP(H27,[1]Sheet3!A:N,12,0)</f>
        <v>18.39</v>
      </c>
      <c r="Z27" s="43">
        <f>VLOOKUP(H27,[1]Sheet3!A:N,13,0)</f>
        <v>30.3892</v>
      </c>
      <c r="AA27" s="43">
        <f>VLOOKUP(H27,[1]Sheet3!A:N,14,0)</f>
        <v>30.3749</v>
      </c>
      <c r="AB27" s="43">
        <f t="shared" si="2"/>
        <v>42.54488</v>
      </c>
      <c r="AC27" s="50">
        <f t="shared" si="3"/>
        <v>0.303892</v>
      </c>
    </row>
    <row r="28" ht="34" spans="1:29">
      <c r="A28" s="20"/>
      <c r="B28" s="20" t="s">
        <v>29</v>
      </c>
      <c r="C28" s="20">
        <v>8</v>
      </c>
      <c r="D28" s="20">
        <v>32</v>
      </c>
      <c r="E28" s="20" t="s">
        <v>55</v>
      </c>
      <c r="F28" s="20"/>
      <c r="G28" s="20">
        <v>1</v>
      </c>
      <c r="H28" s="20" t="s">
        <v>64</v>
      </c>
      <c r="I28" s="20" t="s">
        <v>62</v>
      </c>
      <c r="J28" s="20" t="s">
        <v>58</v>
      </c>
      <c r="K28" s="20">
        <v>8</v>
      </c>
      <c r="L28" s="20">
        <v>32</v>
      </c>
      <c r="M28" s="20" t="s">
        <v>55</v>
      </c>
      <c r="N28" s="20">
        <v>140</v>
      </c>
      <c r="O28" s="43">
        <v>8</v>
      </c>
      <c r="P28" s="43">
        <v>32</v>
      </c>
      <c r="Q28" s="43">
        <v>140</v>
      </c>
      <c r="R28" s="43" t="b">
        <f t="shared" si="0"/>
        <v>1</v>
      </c>
      <c r="S28" s="43" t="b">
        <f t="shared" si="0"/>
        <v>1</v>
      </c>
      <c r="T28" s="43" t="b">
        <f t="shared" si="1"/>
        <v>1</v>
      </c>
      <c r="U28" s="43"/>
      <c r="V28" s="43">
        <f>VLOOKUP(H28,[1]Sheet3!A:N,9,0)</f>
        <v>39.06</v>
      </c>
      <c r="W28" s="43">
        <f>VLOOKUP(H28,[1]Sheet3!A:N,10,0)</f>
        <v>38.965</v>
      </c>
      <c r="X28" s="43">
        <f>VLOOKUP(H28,[1]Sheet3!A:N,11,0)</f>
        <v>18.03</v>
      </c>
      <c r="Y28" s="43">
        <f>VLOOKUP(H28,[1]Sheet3!A:N,12,0)</f>
        <v>17.93</v>
      </c>
      <c r="Z28" s="43">
        <f>VLOOKUP(H28,[1]Sheet3!A:N,13,0)</f>
        <v>36.6985</v>
      </c>
      <c r="AA28" s="43">
        <f>VLOOKUP(H28,[1]Sheet3!A:N,14,0)</f>
        <v>36.6938</v>
      </c>
      <c r="AB28" s="43">
        <f t="shared" si="2"/>
        <v>51.3779</v>
      </c>
      <c r="AC28" s="50">
        <f t="shared" si="3"/>
        <v>0.366985</v>
      </c>
    </row>
    <row r="29" ht="34" spans="1:29">
      <c r="A29" s="20"/>
      <c r="B29" s="20" t="s">
        <v>29</v>
      </c>
      <c r="C29" s="20">
        <v>16</v>
      </c>
      <c r="D29" s="20">
        <v>32</v>
      </c>
      <c r="E29" s="20" t="s">
        <v>65</v>
      </c>
      <c r="F29" s="20"/>
      <c r="G29" s="20">
        <v>1</v>
      </c>
      <c r="H29" s="20" t="s">
        <v>66</v>
      </c>
      <c r="I29" s="20" t="s">
        <v>67</v>
      </c>
      <c r="J29" s="20" t="s">
        <v>68</v>
      </c>
      <c r="K29" s="20">
        <v>16</v>
      </c>
      <c r="L29" s="20">
        <v>32</v>
      </c>
      <c r="M29" s="20" t="s">
        <v>65</v>
      </c>
      <c r="N29" s="20">
        <v>240</v>
      </c>
      <c r="O29" s="43">
        <v>16</v>
      </c>
      <c r="P29" s="43">
        <v>32</v>
      </c>
      <c r="Q29" s="43">
        <v>240</v>
      </c>
      <c r="R29" s="43" t="b">
        <f t="shared" si="0"/>
        <v>1</v>
      </c>
      <c r="S29" s="43" t="b">
        <f t="shared" si="0"/>
        <v>1</v>
      </c>
      <c r="T29" s="43" t="b">
        <f t="shared" si="1"/>
        <v>1</v>
      </c>
      <c r="U29" s="43"/>
      <c r="V29" s="43">
        <f>VLOOKUP(H29,[1]Sheet3!A:N,9,0)</f>
        <v>38.83</v>
      </c>
      <c r="W29" s="43">
        <f>VLOOKUP(H29,[1]Sheet3!A:N,10,0)</f>
        <v>38.79</v>
      </c>
      <c r="X29" s="43">
        <f>VLOOKUP(H29,[1]Sheet3!A:N,11,0)</f>
        <v>31.02</v>
      </c>
      <c r="Y29" s="43">
        <f>VLOOKUP(H29,[1]Sheet3!A:N,12,0)</f>
        <v>30.8575</v>
      </c>
      <c r="Z29" s="43">
        <f>VLOOKUP(H29,[1]Sheet3!A:N,13,0)</f>
        <v>41.2752</v>
      </c>
      <c r="AA29" s="43">
        <f>VLOOKUP(H29,[1]Sheet3!A:N,14,0)</f>
        <v>41.2703</v>
      </c>
      <c r="AB29" s="43">
        <f t="shared" si="2"/>
        <v>99.06048</v>
      </c>
      <c r="AC29" s="50">
        <f t="shared" si="3"/>
        <v>0.412752</v>
      </c>
    </row>
    <row r="30" ht="34" spans="1:29">
      <c r="A30" s="20"/>
      <c r="B30" s="20" t="s">
        <v>29</v>
      </c>
      <c r="C30" s="20">
        <v>16</v>
      </c>
      <c r="D30" s="20">
        <v>32</v>
      </c>
      <c r="E30" s="20" t="s">
        <v>65</v>
      </c>
      <c r="F30" s="20"/>
      <c r="G30" s="20">
        <v>1</v>
      </c>
      <c r="H30" s="20" t="s">
        <v>69</v>
      </c>
      <c r="I30" s="20" t="s">
        <v>67</v>
      </c>
      <c r="J30" s="20" t="s">
        <v>68</v>
      </c>
      <c r="K30" s="20">
        <v>16</v>
      </c>
      <c r="L30" s="20">
        <v>32</v>
      </c>
      <c r="M30" s="20" t="s">
        <v>65</v>
      </c>
      <c r="N30" s="20">
        <v>240</v>
      </c>
      <c r="O30" s="43">
        <v>16</v>
      </c>
      <c r="P30" s="43">
        <v>32</v>
      </c>
      <c r="Q30" s="43">
        <v>240</v>
      </c>
      <c r="R30" s="43" t="b">
        <f t="shared" si="0"/>
        <v>1</v>
      </c>
      <c r="S30" s="43" t="b">
        <f t="shared" si="0"/>
        <v>1</v>
      </c>
      <c r="T30" s="43" t="b">
        <f t="shared" si="1"/>
        <v>1</v>
      </c>
      <c r="U30" s="43"/>
      <c r="V30" s="43">
        <f>VLOOKUP(H30,[1]Sheet3!A:N,9,0)</f>
        <v>38.75</v>
      </c>
      <c r="W30" s="43">
        <f>VLOOKUP(H30,[1]Sheet3!A:N,10,0)</f>
        <v>38.735</v>
      </c>
      <c r="X30" s="43">
        <f>VLOOKUP(H30,[1]Sheet3!A:N,11,0)</f>
        <v>29.74</v>
      </c>
      <c r="Y30" s="43">
        <f>VLOOKUP(H30,[1]Sheet3!A:N,12,0)</f>
        <v>29.5875</v>
      </c>
      <c r="Z30" s="43">
        <f>VLOOKUP(H30,[1]Sheet3!A:N,13,0)</f>
        <v>35.7214</v>
      </c>
      <c r="AA30" s="43">
        <f>VLOOKUP(H30,[1]Sheet3!A:N,14,0)</f>
        <v>35.7115</v>
      </c>
      <c r="AB30" s="43">
        <f t="shared" si="2"/>
        <v>85.73136</v>
      </c>
      <c r="AC30" s="50">
        <f t="shared" si="3"/>
        <v>0.357214</v>
      </c>
    </row>
    <row r="31" ht="34" spans="1:29">
      <c r="A31" s="20"/>
      <c r="B31" s="20" t="s">
        <v>29</v>
      </c>
      <c r="C31" s="20">
        <v>16</v>
      </c>
      <c r="D31" s="20">
        <v>64</v>
      </c>
      <c r="E31" s="20" t="s">
        <v>30</v>
      </c>
      <c r="F31" s="20"/>
      <c r="G31" s="20">
        <v>1</v>
      </c>
      <c r="H31" s="20" t="s">
        <v>70</v>
      </c>
      <c r="I31" s="20" t="s">
        <v>71</v>
      </c>
      <c r="J31" s="20" t="s">
        <v>72</v>
      </c>
      <c r="K31" s="20">
        <v>16</v>
      </c>
      <c r="L31" s="20">
        <v>64</v>
      </c>
      <c r="M31" s="20" t="s">
        <v>30</v>
      </c>
      <c r="N31" s="20">
        <v>540</v>
      </c>
      <c r="O31" s="43">
        <v>16</v>
      </c>
      <c r="P31" s="43">
        <v>64</v>
      </c>
      <c r="Q31" s="43">
        <v>540</v>
      </c>
      <c r="R31" s="43" t="b">
        <f t="shared" si="0"/>
        <v>1</v>
      </c>
      <c r="S31" s="43" t="b">
        <f t="shared" si="0"/>
        <v>1</v>
      </c>
      <c r="T31" s="43" t="b">
        <f t="shared" si="1"/>
        <v>1</v>
      </c>
      <c r="U31" s="43"/>
      <c r="V31" s="43">
        <f>VLOOKUP(H31,[1]Sheet3!A:N,9,0)</f>
        <v>46.05</v>
      </c>
      <c r="W31" s="43">
        <f>VLOOKUP(H31,[1]Sheet3!A:N,10,0)</f>
        <v>40.5325</v>
      </c>
      <c r="X31" s="43">
        <f>VLOOKUP(H31,[1]Sheet3!A:N,11,0)</f>
        <v>36.67</v>
      </c>
      <c r="Y31" s="43">
        <f>VLOOKUP(H31,[1]Sheet3!A:N,12,0)</f>
        <v>36.6225</v>
      </c>
      <c r="Z31" s="43">
        <f>VLOOKUP(H31,[1]Sheet3!A:N,13,0)</f>
        <v>42.8755</v>
      </c>
      <c r="AA31" s="43">
        <f>VLOOKUP(H31,[1]Sheet3!A:N,14,0)</f>
        <v>42.8707</v>
      </c>
      <c r="AB31" s="43">
        <f t="shared" si="2"/>
        <v>231.5277</v>
      </c>
      <c r="AC31" s="50">
        <f t="shared" si="3"/>
        <v>0.428755</v>
      </c>
    </row>
    <row r="32" ht="34" spans="1:29">
      <c r="A32" s="20"/>
      <c r="B32" s="20" t="s">
        <v>29</v>
      </c>
      <c r="C32" s="20">
        <v>16</v>
      </c>
      <c r="D32" s="20">
        <v>64</v>
      </c>
      <c r="E32" s="20" t="s">
        <v>73</v>
      </c>
      <c r="F32" s="20" t="s">
        <v>74</v>
      </c>
      <c r="G32" s="20">
        <v>1</v>
      </c>
      <c r="H32" s="20" t="s">
        <v>75</v>
      </c>
      <c r="I32" s="20" t="s">
        <v>76</v>
      </c>
      <c r="J32" s="20" t="s">
        <v>72</v>
      </c>
      <c r="K32" s="20">
        <v>16</v>
      </c>
      <c r="L32" s="20">
        <v>64</v>
      </c>
      <c r="M32" s="20" t="s">
        <v>30</v>
      </c>
      <c r="N32" s="20">
        <v>540</v>
      </c>
      <c r="O32" s="43">
        <v>16</v>
      </c>
      <c r="P32" s="43">
        <v>64</v>
      </c>
      <c r="Q32" s="43">
        <v>540</v>
      </c>
      <c r="R32" s="43" t="b">
        <f t="shared" si="0"/>
        <v>1</v>
      </c>
      <c r="S32" s="43" t="b">
        <f t="shared" si="0"/>
        <v>1</v>
      </c>
      <c r="T32" s="43" t="b">
        <f t="shared" si="1"/>
        <v>1</v>
      </c>
      <c r="U32" s="43"/>
      <c r="V32" s="43">
        <f>VLOOKUP(H32,[1]Sheet3!A:N,9,0)</f>
        <v>38.68</v>
      </c>
      <c r="W32" s="43">
        <f>VLOOKUP(H32,[1]Sheet3!A:N,10,0)</f>
        <v>38.6175</v>
      </c>
      <c r="X32" s="43">
        <f>VLOOKUP(H32,[1]Sheet3!A:N,11,0)</f>
        <v>33.27</v>
      </c>
      <c r="Y32" s="43">
        <f>VLOOKUP(H32,[1]Sheet3!A:N,12,0)</f>
        <v>33.17</v>
      </c>
      <c r="Z32" s="43">
        <f>VLOOKUP(H32,[1]Sheet3!A:N,13,0)</f>
        <v>45.4459</v>
      </c>
      <c r="AA32" s="43">
        <f>VLOOKUP(H32,[1]Sheet3!A:N,14,0)</f>
        <v>45.441</v>
      </c>
      <c r="AB32" s="43">
        <f t="shared" si="2"/>
        <v>245.40786</v>
      </c>
      <c r="AC32" s="50">
        <f t="shared" si="3"/>
        <v>0.454459</v>
      </c>
    </row>
    <row r="33" ht="17" spans="1:29">
      <c r="A33" s="20"/>
      <c r="B33" s="20" t="s">
        <v>77</v>
      </c>
      <c r="C33" s="20">
        <v>4</v>
      </c>
      <c r="D33" s="20">
        <v>16</v>
      </c>
      <c r="E33" s="20">
        <v>300</v>
      </c>
      <c r="F33" s="20"/>
      <c r="G33" s="20">
        <v>1</v>
      </c>
      <c r="H33" s="20" t="s">
        <v>78</v>
      </c>
      <c r="I33" s="20" t="s">
        <v>79</v>
      </c>
      <c r="J33" s="20" t="s">
        <v>80</v>
      </c>
      <c r="K33" s="20">
        <v>4</v>
      </c>
      <c r="L33" s="20">
        <v>16</v>
      </c>
      <c r="M33" s="20">
        <v>300</v>
      </c>
      <c r="N33" s="45">
        <v>300</v>
      </c>
      <c r="O33" s="43">
        <v>4</v>
      </c>
      <c r="P33" s="43">
        <v>16</v>
      </c>
      <c r="Q33" s="47">
        <v>800</v>
      </c>
      <c r="R33" s="43" t="b">
        <f t="shared" si="0"/>
        <v>1</v>
      </c>
      <c r="S33" s="43" t="b">
        <f t="shared" si="0"/>
        <v>1</v>
      </c>
      <c r="T33" s="43" t="b">
        <f t="shared" si="1"/>
        <v>0</v>
      </c>
      <c r="U33" s="43">
        <f t="shared" ref="U33:U53" si="5">Q33-N33</f>
        <v>500</v>
      </c>
      <c r="V33" s="43">
        <f>VLOOKUP(H33,[1]Sheet3!A:N,9,0)</f>
        <v>27.72</v>
      </c>
      <c r="W33" s="43">
        <f>VLOOKUP(H33,[1]Sheet3!A:N,10,0)</f>
        <v>26.8225</v>
      </c>
      <c r="X33" s="43">
        <f>VLOOKUP(H33,[1]Sheet3!A:N,11,0)</f>
        <v>81.91</v>
      </c>
      <c r="Y33" s="43">
        <f>VLOOKUP(H33,[1]Sheet3!A:N,12,0)</f>
        <v>81.765</v>
      </c>
      <c r="Z33" s="43">
        <f>VLOOKUP(H33,[1]Sheet3!A:N,13,0)</f>
        <v>34.083</v>
      </c>
      <c r="AA33" s="43">
        <f>VLOOKUP(H33,[1]Sheet3!A:N,14,0)</f>
        <v>34.0733</v>
      </c>
      <c r="AB33" s="43">
        <f t="shared" si="2"/>
        <v>272.664</v>
      </c>
      <c r="AC33" s="51">
        <f t="shared" si="3"/>
        <v>0.90888</v>
      </c>
    </row>
    <row r="34" ht="17" spans="1:29">
      <c r="A34" s="20"/>
      <c r="B34" s="20" t="s">
        <v>77</v>
      </c>
      <c r="C34" s="20">
        <v>4</v>
      </c>
      <c r="D34" s="20">
        <v>16</v>
      </c>
      <c r="E34" s="20">
        <v>300</v>
      </c>
      <c r="F34" s="20"/>
      <c r="G34" s="20">
        <v>1</v>
      </c>
      <c r="H34" s="20" t="s">
        <v>81</v>
      </c>
      <c r="I34" s="20" t="s">
        <v>79</v>
      </c>
      <c r="J34" s="20" t="s">
        <v>80</v>
      </c>
      <c r="K34" s="20">
        <v>4</v>
      </c>
      <c r="L34" s="20">
        <v>16</v>
      </c>
      <c r="M34" s="20">
        <v>300</v>
      </c>
      <c r="N34" s="45">
        <v>300</v>
      </c>
      <c r="O34" s="43">
        <v>4</v>
      </c>
      <c r="P34" s="43">
        <v>16</v>
      </c>
      <c r="Q34" s="47">
        <v>600</v>
      </c>
      <c r="R34" s="43" t="b">
        <f t="shared" si="0"/>
        <v>1</v>
      </c>
      <c r="S34" s="43" t="b">
        <f t="shared" si="0"/>
        <v>1</v>
      </c>
      <c r="T34" s="43" t="b">
        <f t="shared" si="1"/>
        <v>0</v>
      </c>
      <c r="U34" s="43">
        <f t="shared" si="5"/>
        <v>300</v>
      </c>
      <c r="V34" s="43">
        <f>VLOOKUP(H34,[1]Sheet3!A:N,9,0)</f>
        <v>11.55</v>
      </c>
      <c r="W34" s="43">
        <f>VLOOKUP(H34,[1]Sheet3!A:N,10,0)</f>
        <v>11.49</v>
      </c>
      <c r="X34" s="43">
        <f>VLOOKUP(H34,[1]Sheet3!A:N,11,0)</f>
        <v>48.51</v>
      </c>
      <c r="Y34" s="43">
        <f>VLOOKUP(H34,[1]Sheet3!A:N,12,0)</f>
        <v>48.3025</v>
      </c>
      <c r="Z34" s="43">
        <f>VLOOKUP(H34,[1]Sheet3!A:N,13,0)</f>
        <v>7.6895</v>
      </c>
      <c r="AA34" s="43">
        <f>VLOOKUP(H34,[1]Sheet3!A:N,14,0)</f>
        <v>7.5315</v>
      </c>
      <c r="AB34" s="43">
        <f t="shared" si="2"/>
        <v>46.137</v>
      </c>
      <c r="AC34" s="51">
        <f t="shared" si="3"/>
        <v>0.15379</v>
      </c>
    </row>
    <row r="35" ht="17" spans="1:29">
      <c r="A35" s="20"/>
      <c r="B35" s="20" t="s">
        <v>77</v>
      </c>
      <c r="C35" s="20">
        <v>4</v>
      </c>
      <c r="D35" s="20">
        <v>16</v>
      </c>
      <c r="E35" s="20">
        <v>300</v>
      </c>
      <c r="F35" s="20"/>
      <c r="G35" s="20">
        <v>1</v>
      </c>
      <c r="H35" s="20" t="s">
        <v>82</v>
      </c>
      <c r="I35" s="20" t="s">
        <v>79</v>
      </c>
      <c r="J35" s="20" t="s">
        <v>80</v>
      </c>
      <c r="K35" s="20">
        <v>4</v>
      </c>
      <c r="L35" s="20">
        <v>16</v>
      </c>
      <c r="M35" s="20">
        <v>300</v>
      </c>
      <c r="N35" s="45">
        <v>300</v>
      </c>
      <c r="O35" s="43">
        <v>4</v>
      </c>
      <c r="P35" s="43">
        <v>16</v>
      </c>
      <c r="Q35" s="47">
        <v>1100</v>
      </c>
      <c r="R35" s="43" t="b">
        <f t="shared" si="0"/>
        <v>1</v>
      </c>
      <c r="S35" s="43" t="b">
        <f t="shared" si="0"/>
        <v>1</v>
      </c>
      <c r="T35" s="43" t="b">
        <f t="shared" si="1"/>
        <v>0</v>
      </c>
      <c r="U35" s="43">
        <f t="shared" si="5"/>
        <v>800</v>
      </c>
      <c r="V35" s="43">
        <f>VLOOKUP(H35,[1]Sheet3!A:N,9,0)</f>
        <v>45.8257</v>
      </c>
      <c r="W35" s="43">
        <f>VLOOKUP(H35,[1]Sheet3!A:N,10,0)</f>
        <v>37.0152</v>
      </c>
      <c r="X35" s="43">
        <f>VLOOKUP(H35,[1]Sheet3!A:N,11,0)</f>
        <v>38.48</v>
      </c>
      <c r="Y35" s="43">
        <f>VLOOKUP(H35,[1]Sheet3!A:N,12,0)</f>
        <v>38.425</v>
      </c>
      <c r="Z35" s="43">
        <f>VLOOKUP(H35,[1]Sheet3!A:N,13,0)</f>
        <v>32.2191</v>
      </c>
      <c r="AA35" s="43">
        <f>VLOOKUP(H35,[1]Sheet3!A:N,14,0)</f>
        <v>32.117</v>
      </c>
      <c r="AB35" s="43">
        <f t="shared" si="2"/>
        <v>354.4101</v>
      </c>
      <c r="AC35" s="51">
        <f t="shared" si="3"/>
        <v>1.181367</v>
      </c>
    </row>
    <row r="36" ht="34" spans="1:29">
      <c r="A36" s="20"/>
      <c r="B36" s="20" t="s">
        <v>77</v>
      </c>
      <c r="C36" s="20">
        <v>8</v>
      </c>
      <c r="D36" s="20">
        <v>16</v>
      </c>
      <c r="E36" s="20">
        <v>500</v>
      </c>
      <c r="F36" s="20"/>
      <c r="G36" s="20">
        <v>1</v>
      </c>
      <c r="H36" s="20" t="s">
        <v>83</v>
      </c>
      <c r="I36" s="20" t="s">
        <v>84</v>
      </c>
      <c r="J36" s="20" t="s">
        <v>85</v>
      </c>
      <c r="K36" s="20">
        <v>8</v>
      </c>
      <c r="L36" s="20">
        <v>16</v>
      </c>
      <c r="M36" s="20">
        <v>500</v>
      </c>
      <c r="N36" s="45">
        <v>500</v>
      </c>
      <c r="O36" s="43">
        <v>8</v>
      </c>
      <c r="P36" s="43">
        <v>16</v>
      </c>
      <c r="Q36" s="47">
        <v>540</v>
      </c>
      <c r="R36" s="43" t="b">
        <f t="shared" ref="R36:S65" si="6">K36=O36</f>
        <v>1</v>
      </c>
      <c r="S36" s="43" t="b">
        <f t="shared" si="6"/>
        <v>1</v>
      </c>
      <c r="T36" s="43" t="b">
        <f t="shared" si="1"/>
        <v>0</v>
      </c>
      <c r="U36" s="43">
        <f t="shared" si="5"/>
        <v>40</v>
      </c>
      <c r="V36" s="43">
        <f>VLOOKUP(H36,[1]Sheet3!A:N,9,0)</f>
        <v>26.06</v>
      </c>
      <c r="W36" s="43">
        <f>VLOOKUP(H36,[1]Sheet3!A:N,10,0)</f>
        <v>26.035</v>
      </c>
      <c r="X36" s="43">
        <f>VLOOKUP(H36,[1]Sheet3!A:N,11,0)</f>
        <v>48.05</v>
      </c>
      <c r="Y36" s="43">
        <f>VLOOKUP(H36,[1]Sheet3!A:N,12,0)</f>
        <v>48.0425</v>
      </c>
      <c r="Z36" s="43">
        <f>VLOOKUP(H36,[1]Sheet3!A:N,13,0)</f>
        <v>58.9081</v>
      </c>
      <c r="AA36" s="43">
        <f>VLOOKUP(H36,[1]Sheet3!A:N,14,0)</f>
        <v>58.8905</v>
      </c>
      <c r="AB36" s="43">
        <f t="shared" si="2"/>
        <v>318.10374</v>
      </c>
      <c r="AC36" s="51">
        <f t="shared" si="3"/>
        <v>0.63620748</v>
      </c>
    </row>
    <row r="37" ht="34" spans="1:29">
      <c r="A37" s="20"/>
      <c r="B37" s="20" t="s">
        <v>77</v>
      </c>
      <c r="C37" s="20">
        <v>8</v>
      </c>
      <c r="D37" s="20">
        <v>16</v>
      </c>
      <c r="E37" s="20">
        <v>500</v>
      </c>
      <c r="F37" s="20"/>
      <c r="G37" s="20">
        <v>1</v>
      </c>
      <c r="H37" s="20" t="s">
        <v>86</v>
      </c>
      <c r="I37" s="20" t="s">
        <v>84</v>
      </c>
      <c r="J37" s="20" t="s">
        <v>85</v>
      </c>
      <c r="K37" s="20">
        <v>8</v>
      </c>
      <c r="L37" s="20">
        <v>16</v>
      </c>
      <c r="M37" s="20">
        <v>500</v>
      </c>
      <c r="N37" s="45">
        <v>500</v>
      </c>
      <c r="O37" s="43">
        <v>8</v>
      </c>
      <c r="P37" s="43">
        <v>16</v>
      </c>
      <c r="Q37" s="47">
        <v>540</v>
      </c>
      <c r="R37" s="43" t="b">
        <f t="shared" si="6"/>
        <v>1</v>
      </c>
      <c r="S37" s="43" t="b">
        <f t="shared" si="6"/>
        <v>1</v>
      </c>
      <c r="T37" s="43" t="b">
        <f t="shared" si="1"/>
        <v>0</v>
      </c>
      <c r="U37" s="43">
        <f t="shared" si="5"/>
        <v>40</v>
      </c>
      <c r="V37" s="43">
        <f>VLOOKUP(H37,[1]Sheet3!A:N,9,0)</f>
        <v>30.68</v>
      </c>
      <c r="W37" s="43">
        <f>VLOOKUP(H37,[1]Sheet3!A:N,10,0)</f>
        <v>29.525</v>
      </c>
      <c r="X37" s="43">
        <f>VLOOKUP(H37,[1]Sheet3!A:N,11,0)</f>
        <v>46.73</v>
      </c>
      <c r="Y37" s="43">
        <f>VLOOKUP(H37,[1]Sheet3!A:N,12,0)</f>
        <v>46.47</v>
      </c>
      <c r="Z37" s="43">
        <f>VLOOKUP(H37,[1]Sheet3!A:N,13,0)</f>
        <v>44.5533</v>
      </c>
      <c r="AA37" s="43">
        <f>VLOOKUP(H37,[1]Sheet3!A:N,14,0)</f>
        <v>44.4109</v>
      </c>
      <c r="AB37" s="43">
        <f t="shared" si="2"/>
        <v>240.58782</v>
      </c>
      <c r="AC37" s="50">
        <f t="shared" si="3"/>
        <v>0.48117564</v>
      </c>
    </row>
    <row r="38" ht="34" spans="1:29">
      <c r="A38" s="20"/>
      <c r="B38" s="20" t="s">
        <v>77</v>
      </c>
      <c r="C38" s="20">
        <v>8</v>
      </c>
      <c r="D38" s="20">
        <v>16</v>
      </c>
      <c r="E38" s="20">
        <v>500</v>
      </c>
      <c r="F38" s="20"/>
      <c r="G38" s="20">
        <v>1</v>
      </c>
      <c r="H38" s="20" t="s">
        <v>87</v>
      </c>
      <c r="I38" s="20" t="s">
        <v>84</v>
      </c>
      <c r="J38" s="20" t="s">
        <v>85</v>
      </c>
      <c r="K38" s="20">
        <v>8</v>
      </c>
      <c r="L38" s="20">
        <v>16</v>
      </c>
      <c r="M38" s="20">
        <v>500</v>
      </c>
      <c r="N38" s="45">
        <v>500</v>
      </c>
      <c r="O38" s="43">
        <v>8</v>
      </c>
      <c r="P38" s="43">
        <v>16</v>
      </c>
      <c r="Q38" s="47">
        <v>840</v>
      </c>
      <c r="R38" s="43" t="b">
        <f t="shared" si="6"/>
        <v>1</v>
      </c>
      <c r="S38" s="43" t="b">
        <f t="shared" si="6"/>
        <v>1</v>
      </c>
      <c r="T38" s="43" t="b">
        <f t="shared" si="1"/>
        <v>0</v>
      </c>
      <c r="U38" s="43">
        <f t="shared" si="5"/>
        <v>340</v>
      </c>
      <c r="V38" s="43">
        <f>VLOOKUP(H38,[1]Sheet3!A:N,9,0)</f>
        <v>28.55</v>
      </c>
      <c r="W38" s="43">
        <f>VLOOKUP(H38,[1]Sheet3!A:N,10,0)</f>
        <v>28.13</v>
      </c>
      <c r="X38" s="43">
        <f>VLOOKUP(H38,[1]Sheet3!A:N,11,0)</f>
        <v>51.04</v>
      </c>
      <c r="Y38" s="43">
        <f>VLOOKUP(H38,[1]Sheet3!A:N,12,0)</f>
        <v>50.9525</v>
      </c>
      <c r="Z38" s="43">
        <f>VLOOKUP(H38,[1]Sheet3!A:N,13,0)</f>
        <v>67.9318</v>
      </c>
      <c r="AA38" s="43">
        <f>VLOOKUP(H38,[1]Sheet3!A:N,14,0)</f>
        <v>67.9208</v>
      </c>
      <c r="AB38" s="43">
        <f t="shared" si="2"/>
        <v>570.62712</v>
      </c>
      <c r="AC38" s="51">
        <f t="shared" si="3"/>
        <v>1.14125424</v>
      </c>
    </row>
    <row r="39" ht="34" spans="1:29">
      <c r="A39" s="20"/>
      <c r="B39" s="20" t="s">
        <v>77</v>
      </c>
      <c r="C39" s="20">
        <v>8</v>
      </c>
      <c r="D39" s="20">
        <v>16</v>
      </c>
      <c r="E39" s="20">
        <v>500</v>
      </c>
      <c r="F39" s="20"/>
      <c r="G39" s="20">
        <v>1</v>
      </c>
      <c r="H39" s="20" t="s">
        <v>88</v>
      </c>
      <c r="I39" s="20" t="s">
        <v>84</v>
      </c>
      <c r="J39" s="20" t="s">
        <v>85</v>
      </c>
      <c r="K39" s="20">
        <v>8</v>
      </c>
      <c r="L39" s="20">
        <v>16</v>
      </c>
      <c r="M39" s="20">
        <v>500</v>
      </c>
      <c r="N39" s="45">
        <v>500</v>
      </c>
      <c r="O39" s="43">
        <v>8</v>
      </c>
      <c r="P39" s="43">
        <v>16</v>
      </c>
      <c r="Q39" s="47">
        <v>840</v>
      </c>
      <c r="R39" s="43" t="b">
        <f t="shared" si="6"/>
        <v>1</v>
      </c>
      <c r="S39" s="43" t="b">
        <f t="shared" si="6"/>
        <v>1</v>
      </c>
      <c r="T39" s="43" t="b">
        <f t="shared" si="1"/>
        <v>0</v>
      </c>
      <c r="U39" s="43">
        <f t="shared" si="5"/>
        <v>340</v>
      </c>
      <c r="V39" s="43">
        <f>VLOOKUP(H39,[1]Sheet3!A:N,9,0)</f>
        <v>0.58</v>
      </c>
      <c r="W39" s="43">
        <f>VLOOKUP(H39,[1]Sheet3!A:N,10,0)</f>
        <v>0.5586</v>
      </c>
      <c r="X39" s="43">
        <f>VLOOKUP(H39,[1]Sheet3!A:N,11,0)</f>
        <v>46.94</v>
      </c>
      <c r="Y39" s="43">
        <f>VLOOKUP(H39,[1]Sheet3!A:N,12,0)</f>
        <v>46.7875</v>
      </c>
      <c r="Z39" s="43">
        <f>VLOOKUP(H39,[1]Sheet3!A:N,13,0)</f>
        <v>57.102</v>
      </c>
      <c r="AA39" s="43">
        <f>VLOOKUP(H39,[1]Sheet3!A:N,14,0)</f>
        <v>57.0879</v>
      </c>
      <c r="AB39" s="43">
        <f t="shared" si="2"/>
        <v>479.6568</v>
      </c>
      <c r="AC39" s="51">
        <f t="shared" si="3"/>
        <v>0.9593136</v>
      </c>
    </row>
    <row r="40" ht="34" spans="1:29">
      <c r="A40" s="20"/>
      <c r="B40" s="20" t="s">
        <v>77</v>
      </c>
      <c r="C40" s="20">
        <v>8</v>
      </c>
      <c r="D40" s="20">
        <v>16</v>
      </c>
      <c r="E40" s="20">
        <v>500</v>
      </c>
      <c r="F40" s="20"/>
      <c r="G40" s="20">
        <v>1</v>
      </c>
      <c r="H40" s="20" t="s">
        <v>89</v>
      </c>
      <c r="I40" s="20" t="s">
        <v>84</v>
      </c>
      <c r="J40" s="20" t="s">
        <v>85</v>
      </c>
      <c r="K40" s="20">
        <v>8</v>
      </c>
      <c r="L40" s="20">
        <v>16</v>
      </c>
      <c r="M40" s="20">
        <v>500</v>
      </c>
      <c r="N40" s="45">
        <v>500</v>
      </c>
      <c r="O40" s="43">
        <v>8</v>
      </c>
      <c r="P40" s="43">
        <v>16</v>
      </c>
      <c r="Q40" s="47">
        <v>1000</v>
      </c>
      <c r="R40" s="43" t="b">
        <f t="shared" si="6"/>
        <v>1</v>
      </c>
      <c r="S40" s="43" t="b">
        <f t="shared" si="6"/>
        <v>1</v>
      </c>
      <c r="T40" s="43" t="b">
        <f t="shared" si="1"/>
        <v>0</v>
      </c>
      <c r="U40" s="43">
        <f t="shared" si="5"/>
        <v>500</v>
      </c>
      <c r="V40" s="43">
        <f>VLOOKUP(H40,[1]Sheet3!A:N,9,0)</f>
        <v>28.42</v>
      </c>
      <c r="W40" s="43">
        <f>VLOOKUP(H40,[1]Sheet3!A:N,10,0)</f>
        <v>27.805</v>
      </c>
      <c r="X40" s="43">
        <f>VLOOKUP(H40,[1]Sheet3!A:N,11,0)</f>
        <v>76.79</v>
      </c>
      <c r="Y40" s="43">
        <f>VLOOKUP(H40,[1]Sheet3!A:N,12,0)</f>
        <v>76.7375</v>
      </c>
      <c r="Z40" s="43">
        <f>VLOOKUP(H40,[1]Sheet3!A:N,13,0)</f>
        <v>40.8784</v>
      </c>
      <c r="AA40" s="43">
        <f>VLOOKUP(H40,[1]Sheet3!A:N,14,0)</f>
        <v>40.7579</v>
      </c>
      <c r="AB40" s="43">
        <f t="shared" si="2"/>
        <v>408.784</v>
      </c>
      <c r="AC40" s="51">
        <f t="shared" si="3"/>
        <v>0.817568</v>
      </c>
    </row>
    <row r="41" ht="34" spans="1:29">
      <c r="A41" s="20"/>
      <c r="B41" s="20" t="s">
        <v>77</v>
      </c>
      <c r="C41" s="20">
        <v>8</v>
      </c>
      <c r="D41" s="20">
        <v>16</v>
      </c>
      <c r="E41" s="20">
        <v>500</v>
      </c>
      <c r="F41" s="20"/>
      <c r="G41" s="20">
        <v>1</v>
      </c>
      <c r="H41" s="20" t="s">
        <v>90</v>
      </c>
      <c r="I41" s="20" t="s">
        <v>84</v>
      </c>
      <c r="J41" s="20" t="s">
        <v>85</v>
      </c>
      <c r="K41" s="20">
        <v>8</v>
      </c>
      <c r="L41" s="20">
        <v>16</v>
      </c>
      <c r="M41" s="20">
        <v>500</v>
      </c>
      <c r="N41" s="45">
        <v>500</v>
      </c>
      <c r="O41" s="43">
        <v>8</v>
      </c>
      <c r="P41" s="43">
        <v>16</v>
      </c>
      <c r="Q41" s="47">
        <v>1000</v>
      </c>
      <c r="R41" s="43" t="b">
        <f t="shared" si="6"/>
        <v>1</v>
      </c>
      <c r="S41" s="43" t="b">
        <f t="shared" si="6"/>
        <v>1</v>
      </c>
      <c r="T41" s="43" t="b">
        <f t="shared" si="1"/>
        <v>0</v>
      </c>
      <c r="U41" s="43">
        <f t="shared" si="5"/>
        <v>500</v>
      </c>
      <c r="V41" s="43">
        <f>VLOOKUP(H41,[1]Sheet3!A:N,9,0)</f>
        <v>26.56</v>
      </c>
      <c r="W41" s="43">
        <f>VLOOKUP(H41,[1]Sheet3!A:N,10,0)</f>
        <v>25.6775</v>
      </c>
      <c r="X41" s="43">
        <f>VLOOKUP(H41,[1]Sheet3!A:N,11,0)</f>
        <v>76.34</v>
      </c>
      <c r="Y41" s="43">
        <f>VLOOKUP(H41,[1]Sheet3!A:N,12,0)</f>
        <v>75.9475</v>
      </c>
      <c r="Z41" s="43">
        <f>VLOOKUP(H41,[1]Sheet3!A:N,13,0)</f>
        <v>36.4929</v>
      </c>
      <c r="AA41" s="43">
        <f>VLOOKUP(H41,[1]Sheet3!A:N,14,0)</f>
        <v>36.4541</v>
      </c>
      <c r="AB41" s="43">
        <f t="shared" si="2"/>
        <v>364.929</v>
      </c>
      <c r="AC41" s="51">
        <f t="shared" si="3"/>
        <v>0.729858</v>
      </c>
    </row>
    <row r="42" ht="34" spans="1:29">
      <c r="A42" s="41" t="s">
        <v>91</v>
      </c>
      <c r="B42" s="20" t="s">
        <v>29</v>
      </c>
      <c r="C42" s="20">
        <v>4</v>
      </c>
      <c r="D42" s="20">
        <v>8</v>
      </c>
      <c r="E42" s="20">
        <v>40</v>
      </c>
      <c r="F42" s="20"/>
      <c r="G42" s="20">
        <v>1</v>
      </c>
      <c r="H42" s="20" t="s">
        <v>92</v>
      </c>
      <c r="I42" s="20" t="s">
        <v>93</v>
      </c>
      <c r="J42" s="20" t="s">
        <v>94</v>
      </c>
      <c r="K42" s="20">
        <v>4</v>
      </c>
      <c r="L42" s="20">
        <v>8</v>
      </c>
      <c r="M42" s="20" t="s">
        <v>95</v>
      </c>
      <c r="N42" s="45">
        <v>80</v>
      </c>
      <c r="O42" s="43">
        <v>4</v>
      </c>
      <c r="P42" s="43">
        <v>8</v>
      </c>
      <c r="Q42" s="47">
        <v>280</v>
      </c>
      <c r="R42" s="43" t="b">
        <f t="shared" si="6"/>
        <v>1</v>
      </c>
      <c r="S42" s="43" t="b">
        <f t="shared" si="6"/>
        <v>1</v>
      </c>
      <c r="T42" s="43" t="b">
        <f t="shared" si="1"/>
        <v>0</v>
      </c>
      <c r="U42" s="43">
        <f t="shared" si="5"/>
        <v>200</v>
      </c>
      <c r="V42" s="43">
        <f>VLOOKUP(H42,[1]Sheet3!A:N,9,0)</f>
        <v>26.24</v>
      </c>
      <c r="W42" s="43">
        <f>VLOOKUP(H42,[1]Sheet3!A:N,10,0)</f>
        <v>26.01</v>
      </c>
      <c r="X42" s="43">
        <f>VLOOKUP(H42,[1]Sheet3!A:N,11,0)</f>
        <v>21.1</v>
      </c>
      <c r="Y42" s="43">
        <f>VLOOKUP(H42,[1]Sheet3!A:N,12,0)</f>
        <v>20.91</v>
      </c>
      <c r="Z42" s="43">
        <f>VLOOKUP(H42,[1]Sheet3!A:N,13,0)</f>
        <v>55.7186</v>
      </c>
      <c r="AA42" s="43">
        <f>VLOOKUP(H42,[1]Sheet3!A:N,14,0)</f>
        <v>55.6133</v>
      </c>
      <c r="AB42" s="43">
        <f t="shared" si="2"/>
        <v>156.01208</v>
      </c>
      <c r="AC42" s="51">
        <f t="shared" si="3"/>
        <v>1.950151</v>
      </c>
    </row>
    <row r="43" ht="34" spans="1:29">
      <c r="A43" s="20"/>
      <c r="B43" s="20" t="s">
        <v>29</v>
      </c>
      <c r="C43" s="20">
        <v>4</v>
      </c>
      <c r="D43" s="20">
        <v>8</v>
      </c>
      <c r="E43" s="20">
        <v>40</v>
      </c>
      <c r="F43" s="20"/>
      <c r="G43" s="20">
        <v>1</v>
      </c>
      <c r="H43" s="20" t="s">
        <v>96</v>
      </c>
      <c r="I43" s="20" t="s">
        <v>93</v>
      </c>
      <c r="J43" s="20" t="s">
        <v>94</v>
      </c>
      <c r="K43" s="20">
        <v>4</v>
      </c>
      <c r="L43" s="20">
        <v>8</v>
      </c>
      <c r="M43" s="20" t="s">
        <v>95</v>
      </c>
      <c r="N43" s="45">
        <v>80</v>
      </c>
      <c r="O43" s="43">
        <v>4</v>
      </c>
      <c r="P43" s="43">
        <v>8</v>
      </c>
      <c r="Q43" s="47">
        <v>280</v>
      </c>
      <c r="R43" s="43" t="b">
        <f t="shared" si="6"/>
        <v>1</v>
      </c>
      <c r="S43" s="43" t="b">
        <f t="shared" si="6"/>
        <v>1</v>
      </c>
      <c r="T43" s="43" t="b">
        <f t="shared" si="1"/>
        <v>0</v>
      </c>
      <c r="U43" s="43">
        <f t="shared" si="5"/>
        <v>200</v>
      </c>
      <c r="V43" s="43">
        <f>VLOOKUP(H43,[1]Sheet3!A:N,9,0)</f>
        <v>30.67</v>
      </c>
      <c r="W43" s="43">
        <f>VLOOKUP(H43,[1]Sheet3!A:N,10,0)</f>
        <v>29.3475</v>
      </c>
      <c r="X43" s="43">
        <f>VLOOKUP(H43,[1]Sheet3!A:N,11,0)</f>
        <v>22.83</v>
      </c>
      <c r="Y43" s="43">
        <f>VLOOKUP(H43,[1]Sheet3!A:N,12,0)</f>
        <v>22.815</v>
      </c>
      <c r="Z43" s="43">
        <f>VLOOKUP(H43,[1]Sheet3!A:N,13,0)</f>
        <v>45.2443</v>
      </c>
      <c r="AA43" s="43">
        <f>VLOOKUP(H43,[1]Sheet3!A:N,14,0)</f>
        <v>45.2249</v>
      </c>
      <c r="AB43" s="43">
        <f t="shared" si="2"/>
        <v>126.68404</v>
      </c>
      <c r="AC43" s="51">
        <f t="shared" si="3"/>
        <v>1.5835505</v>
      </c>
    </row>
    <row r="44" ht="34" spans="1:29">
      <c r="A44" s="20"/>
      <c r="B44" s="20" t="s">
        <v>29</v>
      </c>
      <c r="C44" s="20">
        <v>4</v>
      </c>
      <c r="D44" s="20">
        <v>8</v>
      </c>
      <c r="E44" s="20">
        <v>40</v>
      </c>
      <c r="F44" s="20"/>
      <c r="G44" s="20">
        <v>1</v>
      </c>
      <c r="H44" s="20" t="s">
        <v>97</v>
      </c>
      <c r="I44" s="20" t="s">
        <v>98</v>
      </c>
      <c r="J44" s="20" t="s">
        <v>94</v>
      </c>
      <c r="K44" s="20">
        <v>4</v>
      </c>
      <c r="L44" s="20">
        <v>8</v>
      </c>
      <c r="M44" s="20" t="s">
        <v>95</v>
      </c>
      <c r="N44" s="45">
        <v>80</v>
      </c>
      <c r="O44" s="43">
        <v>4</v>
      </c>
      <c r="P44" s="43">
        <v>8</v>
      </c>
      <c r="Q44" s="47">
        <v>280</v>
      </c>
      <c r="R44" s="43" t="b">
        <f t="shared" si="6"/>
        <v>1</v>
      </c>
      <c r="S44" s="43" t="b">
        <f t="shared" si="6"/>
        <v>1</v>
      </c>
      <c r="T44" s="43" t="b">
        <f t="shared" si="1"/>
        <v>0</v>
      </c>
      <c r="U44" s="43">
        <f t="shared" si="5"/>
        <v>200</v>
      </c>
      <c r="V44" s="43">
        <f>VLOOKUP(H44,[1]Sheet3!A:N,9,0)</f>
        <v>26.24</v>
      </c>
      <c r="W44" s="43">
        <f>VLOOKUP(H44,[1]Sheet3!A:N,10,0)</f>
        <v>26.1525</v>
      </c>
      <c r="X44" s="43">
        <f>VLOOKUP(H44,[1]Sheet3!A:N,11,0)</f>
        <v>24.1</v>
      </c>
      <c r="Y44" s="43">
        <f>VLOOKUP(H44,[1]Sheet3!A:N,12,0)</f>
        <v>24.0225</v>
      </c>
      <c r="Z44" s="43">
        <f>VLOOKUP(H44,[1]Sheet3!A:N,13,0)</f>
        <v>54.2063</v>
      </c>
      <c r="AA44" s="43">
        <f>VLOOKUP(H44,[1]Sheet3!A:N,14,0)</f>
        <v>53.4943</v>
      </c>
      <c r="AB44" s="43">
        <f t="shared" si="2"/>
        <v>151.77764</v>
      </c>
      <c r="AC44" s="51">
        <f t="shared" si="3"/>
        <v>1.8972205</v>
      </c>
    </row>
    <row r="45" ht="34" spans="1:29">
      <c r="A45" s="20"/>
      <c r="B45" s="20" t="s">
        <v>29</v>
      </c>
      <c r="C45" s="20">
        <v>4</v>
      </c>
      <c r="D45" s="20">
        <v>8</v>
      </c>
      <c r="E45" s="20">
        <v>40</v>
      </c>
      <c r="F45" s="20"/>
      <c r="G45" s="20">
        <v>1</v>
      </c>
      <c r="H45" s="20" t="s">
        <v>99</v>
      </c>
      <c r="I45" s="20" t="s">
        <v>98</v>
      </c>
      <c r="J45" s="20" t="s">
        <v>94</v>
      </c>
      <c r="K45" s="20">
        <v>4</v>
      </c>
      <c r="L45" s="20">
        <v>8</v>
      </c>
      <c r="M45" s="20" t="s">
        <v>95</v>
      </c>
      <c r="N45" s="45">
        <v>80</v>
      </c>
      <c r="O45" s="43">
        <v>4</v>
      </c>
      <c r="P45" s="43">
        <v>8</v>
      </c>
      <c r="Q45" s="47">
        <v>280</v>
      </c>
      <c r="R45" s="43" t="b">
        <f t="shared" si="6"/>
        <v>1</v>
      </c>
      <c r="S45" s="43" t="b">
        <f t="shared" si="6"/>
        <v>1</v>
      </c>
      <c r="T45" s="43" t="b">
        <f t="shared" si="1"/>
        <v>0</v>
      </c>
      <c r="U45" s="43">
        <f t="shared" si="5"/>
        <v>200</v>
      </c>
      <c r="V45" s="43">
        <f>VLOOKUP(H45,[1]Sheet3!A:N,9,0)</f>
        <v>29.22</v>
      </c>
      <c r="W45" s="43">
        <f>VLOOKUP(H45,[1]Sheet3!A:N,10,0)</f>
        <v>28.975</v>
      </c>
      <c r="X45" s="43">
        <f>VLOOKUP(H45,[1]Sheet3!A:N,11,0)</f>
        <v>28.85</v>
      </c>
      <c r="Y45" s="43">
        <f>VLOOKUP(H45,[1]Sheet3!A:N,12,0)</f>
        <v>28.6175</v>
      </c>
      <c r="Z45" s="43">
        <f>VLOOKUP(H45,[1]Sheet3!A:N,13,0)</f>
        <v>25.1544</v>
      </c>
      <c r="AA45" s="43">
        <f>VLOOKUP(H45,[1]Sheet3!A:N,14,0)</f>
        <v>25.0774</v>
      </c>
      <c r="AB45" s="43">
        <f t="shared" si="2"/>
        <v>70.43232</v>
      </c>
      <c r="AC45" s="51">
        <f t="shared" si="3"/>
        <v>0.880404</v>
      </c>
    </row>
    <row r="46" ht="34" spans="1:29">
      <c r="A46" s="20"/>
      <c r="B46" s="20" t="s">
        <v>29</v>
      </c>
      <c r="C46" s="20">
        <v>8</v>
      </c>
      <c r="D46" s="20">
        <v>16</v>
      </c>
      <c r="E46" s="20" t="s">
        <v>100</v>
      </c>
      <c r="F46" s="20"/>
      <c r="G46" s="20">
        <v>1</v>
      </c>
      <c r="H46" s="20" t="s">
        <v>101</v>
      </c>
      <c r="I46" s="20" t="s">
        <v>102</v>
      </c>
      <c r="J46" s="20" t="s">
        <v>103</v>
      </c>
      <c r="K46" s="20">
        <v>8</v>
      </c>
      <c r="L46" s="20">
        <v>16</v>
      </c>
      <c r="M46" s="20" t="s">
        <v>100</v>
      </c>
      <c r="N46" s="45">
        <v>100</v>
      </c>
      <c r="O46" s="43">
        <v>8</v>
      </c>
      <c r="P46" s="43">
        <v>16</v>
      </c>
      <c r="Q46" s="47">
        <v>400</v>
      </c>
      <c r="R46" s="43" t="b">
        <f t="shared" si="6"/>
        <v>1</v>
      </c>
      <c r="S46" s="43" t="b">
        <f t="shared" si="6"/>
        <v>1</v>
      </c>
      <c r="T46" s="43" t="b">
        <f t="shared" si="1"/>
        <v>0</v>
      </c>
      <c r="U46" s="43">
        <f t="shared" si="5"/>
        <v>300</v>
      </c>
      <c r="V46" s="43">
        <f>VLOOKUP(H46,[1]Sheet3!A:N,9,0)</f>
        <v>46.1707</v>
      </c>
      <c r="W46" s="43">
        <f>VLOOKUP(H46,[1]Sheet3!A:N,10,0)</f>
        <v>36.1133</v>
      </c>
      <c r="X46" s="43">
        <f>VLOOKUP(H46,[1]Sheet3!A:N,11,0)</f>
        <v>50.92</v>
      </c>
      <c r="Y46" s="43">
        <f>VLOOKUP(H46,[1]Sheet3!A:N,12,0)</f>
        <v>50.8625</v>
      </c>
      <c r="Z46" s="43">
        <f>VLOOKUP(H46,[1]Sheet3!A:N,13,0)</f>
        <v>9.7948</v>
      </c>
      <c r="AA46" s="43">
        <f>VLOOKUP(H46,[1]Sheet3!A:N,14,0)</f>
        <v>9.784</v>
      </c>
      <c r="AB46" s="43">
        <f t="shared" si="2"/>
        <v>39.1792</v>
      </c>
      <c r="AC46" s="50">
        <f t="shared" si="3"/>
        <v>0.391792</v>
      </c>
    </row>
    <row r="47" ht="34" spans="1:29">
      <c r="A47" s="20"/>
      <c r="B47" s="20" t="s">
        <v>29</v>
      </c>
      <c r="C47" s="20">
        <v>8</v>
      </c>
      <c r="D47" s="20">
        <v>16</v>
      </c>
      <c r="E47" s="20" t="s">
        <v>100</v>
      </c>
      <c r="F47" s="20"/>
      <c r="G47" s="20">
        <v>1</v>
      </c>
      <c r="H47" s="20" t="s">
        <v>104</v>
      </c>
      <c r="I47" s="20" t="s">
        <v>102</v>
      </c>
      <c r="J47" s="20" t="s">
        <v>103</v>
      </c>
      <c r="K47" s="20">
        <v>8</v>
      </c>
      <c r="L47" s="20">
        <v>16</v>
      </c>
      <c r="M47" s="20" t="s">
        <v>100</v>
      </c>
      <c r="N47" s="45">
        <v>100</v>
      </c>
      <c r="O47" s="43">
        <v>8</v>
      </c>
      <c r="P47" s="43">
        <v>16</v>
      </c>
      <c r="Q47" s="47">
        <v>400</v>
      </c>
      <c r="R47" s="43" t="b">
        <f t="shared" si="6"/>
        <v>1</v>
      </c>
      <c r="S47" s="43" t="b">
        <f t="shared" si="6"/>
        <v>1</v>
      </c>
      <c r="T47" s="43" t="b">
        <f t="shared" si="1"/>
        <v>0</v>
      </c>
      <c r="U47" s="43">
        <f t="shared" si="5"/>
        <v>300</v>
      </c>
      <c r="V47" s="43">
        <f>VLOOKUP(H47,[1]Sheet3!A:N,9,0)</f>
        <v>40.2311</v>
      </c>
      <c r="W47" s="43">
        <f>VLOOKUP(H47,[1]Sheet3!A:N,10,0)</f>
        <v>24.1908</v>
      </c>
      <c r="X47" s="43">
        <f>VLOOKUP(H47,[1]Sheet3!A:N,11,0)</f>
        <v>35.36</v>
      </c>
      <c r="Y47" s="43">
        <f>VLOOKUP(H47,[1]Sheet3!A:N,12,0)</f>
        <v>33.465</v>
      </c>
      <c r="Z47" s="43">
        <f>VLOOKUP(H47,[1]Sheet3!A:N,13,0)</f>
        <v>3.6766</v>
      </c>
      <c r="AA47" s="43">
        <f>VLOOKUP(H47,[1]Sheet3!A:N,14,0)</f>
        <v>3.6474</v>
      </c>
      <c r="AB47" s="43">
        <f t="shared" si="2"/>
        <v>14.7064</v>
      </c>
      <c r="AC47" s="50">
        <f t="shared" si="3"/>
        <v>0.147064</v>
      </c>
    </row>
    <row r="48" ht="34" spans="1:29">
      <c r="A48" s="20"/>
      <c r="B48" s="20" t="s">
        <v>29</v>
      </c>
      <c r="C48" s="20">
        <v>8</v>
      </c>
      <c r="D48" s="20">
        <v>16</v>
      </c>
      <c r="E48" s="20" t="s">
        <v>100</v>
      </c>
      <c r="F48" s="20"/>
      <c r="G48" s="20">
        <v>1</v>
      </c>
      <c r="H48" s="20" t="s">
        <v>105</v>
      </c>
      <c r="I48" s="20" t="s">
        <v>102</v>
      </c>
      <c r="J48" s="20" t="s">
        <v>103</v>
      </c>
      <c r="K48" s="20">
        <v>8</v>
      </c>
      <c r="L48" s="20">
        <v>16</v>
      </c>
      <c r="M48" s="20" t="s">
        <v>100</v>
      </c>
      <c r="N48" s="45">
        <v>100</v>
      </c>
      <c r="O48" s="43">
        <v>8</v>
      </c>
      <c r="P48" s="43">
        <v>16</v>
      </c>
      <c r="Q48" s="47">
        <v>400</v>
      </c>
      <c r="R48" s="43" t="b">
        <f t="shared" si="6"/>
        <v>1</v>
      </c>
      <c r="S48" s="43" t="b">
        <f t="shared" si="6"/>
        <v>1</v>
      </c>
      <c r="T48" s="43" t="b">
        <f t="shared" si="1"/>
        <v>0</v>
      </c>
      <c r="U48" s="43">
        <f t="shared" si="5"/>
        <v>300</v>
      </c>
      <c r="V48" s="43">
        <f>VLOOKUP(H48,[1]Sheet3!A:N,9,0)</f>
        <v>36.7507</v>
      </c>
      <c r="W48" s="43">
        <f>VLOOKUP(H48,[1]Sheet3!A:N,10,0)</f>
        <v>21.4158</v>
      </c>
      <c r="X48" s="43">
        <f>VLOOKUP(H48,[1]Sheet3!A:N,11,0)</f>
        <v>31.88</v>
      </c>
      <c r="Y48" s="43">
        <f>VLOOKUP(H48,[1]Sheet3!A:N,12,0)</f>
        <v>31.7775</v>
      </c>
      <c r="Z48" s="43">
        <f>VLOOKUP(H48,[1]Sheet3!A:N,13,0)</f>
        <v>3.6104</v>
      </c>
      <c r="AA48" s="43">
        <f>VLOOKUP(H48,[1]Sheet3!A:N,14,0)</f>
        <v>3.5973</v>
      </c>
      <c r="AB48" s="43">
        <f t="shared" si="2"/>
        <v>14.4416</v>
      </c>
      <c r="AC48" s="50">
        <f t="shared" si="3"/>
        <v>0.144416</v>
      </c>
    </row>
    <row r="49" ht="34" spans="1:29">
      <c r="A49" s="20"/>
      <c r="B49" s="20" t="s">
        <v>29</v>
      </c>
      <c r="C49" s="20">
        <v>8</v>
      </c>
      <c r="D49" s="20">
        <v>16</v>
      </c>
      <c r="E49" s="20" t="s">
        <v>100</v>
      </c>
      <c r="F49" s="20"/>
      <c r="G49" s="20">
        <v>1</v>
      </c>
      <c r="H49" s="20" t="s">
        <v>106</v>
      </c>
      <c r="I49" s="20" t="s">
        <v>102</v>
      </c>
      <c r="J49" s="20" t="s">
        <v>103</v>
      </c>
      <c r="K49" s="20">
        <v>8</v>
      </c>
      <c r="L49" s="20">
        <v>16</v>
      </c>
      <c r="M49" s="20" t="s">
        <v>100</v>
      </c>
      <c r="N49" s="45">
        <v>100</v>
      </c>
      <c r="O49" s="43">
        <v>8</v>
      </c>
      <c r="P49" s="43">
        <v>16</v>
      </c>
      <c r="Q49" s="47">
        <v>400</v>
      </c>
      <c r="R49" s="43" t="b">
        <f t="shared" si="6"/>
        <v>1</v>
      </c>
      <c r="S49" s="43" t="b">
        <f t="shared" si="6"/>
        <v>1</v>
      </c>
      <c r="T49" s="43" t="b">
        <f t="shared" si="1"/>
        <v>0</v>
      </c>
      <c r="U49" s="43">
        <f t="shared" si="5"/>
        <v>300</v>
      </c>
      <c r="V49" s="43">
        <f>VLOOKUP(H49,[1]Sheet3!A:N,9,0)</f>
        <v>1.29</v>
      </c>
      <c r="W49" s="43">
        <f>VLOOKUP(H49,[1]Sheet3!A:N,10,0)</f>
        <v>1.26</v>
      </c>
      <c r="X49" s="43">
        <f>VLOOKUP(H49,[1]Sheet3!A:N,11,0)</f>
        <v>51.24</v>
      </c>
      <c r="Y49" s="43">
        <f>VLOOKUP(H49,[1]Sheet3!A:N,12,0)</f>
        <v>51.195</v>
      </c>
      <c r="Z49" s="43">
        <f>VLOOKUP(H49,[1]Sheet3!A:N,13,0)</f>
        <v>6.3418</v>
      </c>
      <c r="AA49" s="43">
        <f>VLOOKUP(H49,[1]Sheet3!A:N,14,0)</f>
        <v>6.3418</v>
      </c>
      <c r="AB49" s="43">
        <f t="shared" si="2"/>
        <v>25.3672</v>
      </c>
      <c r="AC49" s="50">
        <f t="shared" si="3"/>
        <v>0.253672</v>
      </c>
    </row>
    <row r="50" ht="34" spans="1:29">
      <c r="A50" s="20"/>
      <c r="B50" s="20" t="s">
        <v>29</v>
      </c>
      <c r="C50" s="20">
        <v>8</v>
      </c>
      <c r="D50" s="20">
        <v>16</v>
      </c>
      <c r="E50" s="20" t="s">
        <v>100</v>
      </c>
      <c r="F50" s="20"/>
      <c r="G50" s="20">
        <v>1</v>
      </c>
      <c r="H50" s="20" t="s">
        <v>107</v>
      </c>
      <c r="I50" s="20" t="s">
        <v>102</v>
      </c>
      <c r="J50" s="20" t="s">
        <v>103</v>
      </c>
      <c r="K50" s="20">
        <v>8</v>
      </c>
      <c r="L50" s="20">
        <v>16</v>
      </c>
      <c r="M50" s="20" t="s">
        <v>100</v>
      </c>
      <c r="N50" s="45">
        <v>100</v>
      </c>
      <c r="O50" s="43">
        <v>8</v>
      </c>
      <c r="P50" s="43">
        <v>16</v>
      </c>
      <c r="Q50" s="47">
        <v>400</v>
      </c>
      <c r="R50" s="43" t="b">
        <f t="shared" si="6"/>
        <v>1</v>
      </c>
      <c r="S50" s="43" t="b">
        <f t="shared" si="6"/>
        <v>1</v>
      </c>
      <c r="T50" s="43" t="b">
        <f t="shared" si="1"/>
        <v>0</v>
      </c>
      <c r="U50" s="43">
        <f t="shared" si="5"/>
        <v>300</v>
      </c>
      <c r="V50" s="43">
        <f>VLOOKUP(H50,[1]Sheet3!A:N,9,0)</f>
        <v>1.72</v>
      </c>
      <c r="W50" s="43">
        <f>VLOOKUP(H50,[1]Sheet3!A:N,10,0)</f>
        <v>1.69</v>
      </c>
      <c r="X50" s="43">
        <f>VLOOKUP(H50,[1]Sheet3!A:N,11,0)</f>
        <v>40.34</v>
      </c>
      <c r="Y50" s="43">
        <f>VLOOKUP(H50,[1]Sheet3!A:N,12,0)</f>
        <v>40.2825</v>
      </c>
      <c r="Z50" s="43">
        <f>VLOOKUP(H50,[1]Sheet3!A:N,13,0)</f>
        <v>5.7326</v>
      </c>
      <c r="AA50" s="43">
        <f>VLOOKUP(H50,[1]Sheet3!A:N,14,0)</f>
        <v>5.7296</v>
      </c>
      <c r="AB50" s="43">
        <f t="shared" si="2"/>
        <v>22.9304</v>
      </c>
      <c r="AC50" s="50">
        <f t="shared" si="3"/>
        <v>0.229304</v>
      </c>
    </row>
    <row r="51" ht="34" spans="1:29">
      <c r="A51" s="20"/>
      <c r="B51" s="20" t="s">
        <v>29</v>
      </c>
      <c r="C51" s="20">
        <v>8</v>
      </c>
      <c r="D51" s="20">
        <v>16</v>
      </c>
      <c r="E51" s="20" t="s">
        <v>55</v>
      </c>
      <c r="F51" s="20"/>
      <c r="G51" s="20">
        <v>1</v>
      </c>
      <c r="H51" s="20" t="s">
        <v>108</v>
      </c>
      <c r="I51" s="20" t="s">
        <v>109</v>
      </c>
      <c r="J51" s="20" t="s">
        <v>110</v>
      </c>
      <c r="K51" s="20">
        <v>8</v>
      </c>
      <c r="L51" s="20">
        <v>16</v>
      </c>
      <c r="M51" s="20" t="s">
        <v>55</v>
      </c>
      <c r="N51" s="45">
        <v>140</v>
      </c>
      <c r="O51" s="43">
        <v>8</v>
      </c>
      <c r="P51" s="43">
        <v>16</v>
      </c>
      <c r="Q51" s="47">
        <v>340</v>
      </c>
      <c r="R51" s="43" t="b">
        <f t="shared" si="6"/>
        <v>1</v>
      </c>
      <c r="S51" s="43" t="b">
        <f t="shared" si="6"/>
        <v>1</v>
      </c>
      <c r="T51" s="43" t="b">
        <f t="shared" si="1"/>
        <v>0</v>
      </c>
      <c r="U51" s="43">
        <f t="shared" si="5"/>
        <v>200</v>
      </c>
      <c r="V51" s="43">
        <f>VLOOKUP(H51,[1]Sheet3!A:N,9,0)</f>
        <v>27.5208</v>
      </c>
      <c r="W51" s="43">
        <f>VLOOKUP(H51,[1]Sheet3!A:N,10,0)</f>
        <v>27.3894</v>
      </c>
      <c r="X51" s="43">
        <f>VLOOKUP(H51,[1]Sheet3!A:N,11,0)</f>
        <v>74.66</v>
      </c>
      <c r="Y51" s="43">
        <f>VLOOKUP(H51,[1]Sheet3!A:N,12,0)</f>
        <v>74.6475</v>
      </c>
      <c r="Z51" s="43">
        <f>VLOOKUP(H51,[1]Sheet3!A:N,13,0)</f>
        <v>51.0564</v>
      </c>
      <c r="AA51" s="43">
        <f>VLOOKUP(H51,[1]Sheet3!A:N,14,0)</f>
        <v>50.9449</v>
      </c>
      <c r="AB51" s="43">
        <f t="shared" si="2"/>
        <v>173.59176</v>
      </c>
      <c r="AC51" s="51">
        <f t="shared" si="3"/>
        <v>1.23994114285714</v>
      </c>
    </row>
    <row r="52" ht="34" spans="1:29">
      <c r="A52" s="20"/>
      <c r="B52" s="20" t="s">
        <v>29</v>
      </c>
      <c r="C52" s="20">
        <v>8</v>
      </c>
      <c r="D52" s="20">
        <v>16</v>
      </c>
      <c r="E52" s="20" t="s">
        <v>55</v>
      </c>
      <c r="F52" s="20"/>
      <c r="G52" s="20">
        <v>1</v>
      </c>
      <c r="H52" s="20" t="s">
        <v>111</v>
      </c>
      <c r="I52" s="20" t="s">
        <v>109</v>
      </c>
      <c r="J52" s="20" t="s">
        <v>110</v>
      </c>
      <c r="K52" s="20">
        <v>8</v>
      </c>
      <c r="L52" s="20">
        <v>16</v>
      </c>
      <c r="M52" s="20" t="s">
        <v>55</v>
      </c>
      <c r="N52" s="45">
        <v>140</v>
      </c>
      <c r="O52" s="43">
        <v>8</v>
      </c>
      <c r="P52" s="43">
        <v>16</v>
      </c>
      <c r="Q52" s="47">
        <v>340</v>
      </c>
      <c r="R52" s="43" t="b">
        <f t="shared" si="6"/>
        <v>1</v>
      </c>
      <c r="S52" s="43" t="b">
        <f t="shared" si="6"/>
        <v>1</v>
      </c>
      <c r="T52" s="43" t="b">
        <f t="shared" si="1"/>
        <v>0</v>
      </c>
      <c r="U52" s="43">
        <f t="shared" si="5"/>
        <v>200</v>
      </c>
      <c r="V52" s="43">
        <f>VLOOKUP(H52,[1]Sheet3!A:N,9,0)</f>
        <v>25.38</v>
      </c>
      <c r="W52" s="43">
        <f>VLOOKUP(H52,[1]Sheet3!A:N,10,0)</f>
        <v>25.31</v>
      </c>
      <c r="X52" s="43">
        <f>VLOOKUP(H52,[1]Sheet3!A:N,11,0)</f>
        <v>22.03</v>
      </c>
      <c r="Y52" s="43">
        <f>VLOOKUP(H52,[1]Sheet3!A:N,12,0)</f>
        <v>22</v>
      </c>
      <c r="Z52" s="43">
        <f>VLOOKUP(H52,[1]Sheet3!A:N,13,0)</f>
        <v>33.1085</v>
      </c>
      <c r="AA52" s="43">
        <f>VLOOKUP(H52,[1]Sheet3!A:N,14,0)</f>
        <v>33.0802</v>
      </c>
      <c r="AB52" s="43">
        <f t="shared" si="2"/>
        <v>112.5689</v>
      </c>
      <c r="AC52" s="51">
        <f t="shared" si="3"/>
        <v>0.804063571428571</v>
      </c>
    </row>
    <row r="53" ht="34" spans="1:29">
      <c r="A53" s="20"/>
      <c r="B53" s="20" t="s">
        <v>29</v>
      </c>
      <c r="C53" s="20">
        <v>8</v>
      </c>
      <c r="D53" s="20">
        <v>16</v>
      </c>
      <c r="E53" s="20" t="s">
        <v>55</v>
      </c>
      <c r="F53" s="20"/>
      <c r="G53" s="20">
        <v>1</v>
      </c>
      <c r="H53" s="20" t="s">
        <v>112</v>
      </c>
      <c r="I53" s="20" t="s">
        <v>109</v>
      </c>
      <c r="J53" s="20" t="s">
        <v>110</v>
      </c>
      <c r="K53" s="20">
        <v>8</v>
      </c>
      <c r="L53" s="20">
        <v>16</v>
      </c>
      <c r="M53" s="20" t="s">
        <v>55</v>
      </c>
      <c r="N53" s="45">
        <v>140</v>
      </c>
      <c r="O53" s="43">
        <v>8</v>
      </c>
      <c r="P53" s="43">
        <v>16</v>
      </c>
      <c r="Q53" s="47">
        <v>340</v>
      </c>
      <c r="R53" s="43" t="b">
        <f t="shared" si="6"/>
        <v>1</v>
      </c>
      <c r="S53" s="43" t="b">
        <f t="shared" si="6"/>
        <v>1</v>
      </c>
      <c r="T53" s="43" t="b">
        <f t="shared" si="1"/>
        <v>0</v>
      </c>
      <c r="U53" s="43">
        <f t="shared" si="5"/>
        <v>200</v>
      </c>
      <c r="V53" s="43">
        <f>VLOOKUP(H53,[1]Sheet3!A:N,9,0)</f>
        <v>25.38</v>
      </c>
      <c r="W53" s="43">
        <f>VLOOKUP(H53,[1]Sheet3!A:N,10,0)</f>
        <v>25.2288</v>
      </c>
      <c r="X53" s="43">
        <f>VLOOKUP(H53,[1]Sheet3!A:N,11,0)</f>
        <v>19.27</v>
      </c>
      <c r="Y53" s="43">
        <f>VLOOKUP(H53,[1]Sheet3!A:N,12,0)</f>
        <v>19.25</v>
      </c>
      <c r="Z53" s="43">
        <f>VLOOKUP(H53,[1]Sheet3!A:N,13,0)</f>
        <v>29.8163</v>
      </c>
      <c r="AA53" s="43">
        <f>VLOOKUP(H53,[1]Sheet3!A:N,14,0)</f>
        <v>29.7964</v>
      </c>
      <c r="AB53" s="43">
        <f t="shared" si="2"/>
        <v>101.37542</v>
      </c>
      <c r="AC53" s="51">
        <f t="shared" si="3"/>
        <v>0.724110142857143</v>
      </c>
    </row>
    <row r="54" ht="34" spans="1:29">
      <c r="A54" s="20"/>
      <c r="B54" s="20" t="s">
        <v>29</v>
      </c>
      <c r="C54" s="20">
        <v>8</v>
      </c>
      <c r="D54" s="20">
        <v>16</v>
      </c>
      <c r="E54" s="20" t="s">
        <v>65</v>
      </c>
      <c r="F54" s="20"/>
      <c r="G54" s="20">
        <v>1</v>
      </c>
      <c r="H54" s="20" t="s">
        <v>113</v>
      </c>
      <c r="I54" s="20" t="s">
        <v>114</v>
      </c>
      <c r="J54" s="20" t="s">
        <v>115</v>
      </c>
      <c r="K54" s="20">
        <v>8</v>
      </c>
      <c r="L54" s="20">
        <v>16</v>
      </c>
      <c r="M54" s="20" t="s">
        <v>65</v>
      </c>
      <c r="N54" s="20">
        <v>240</v>
      </c>
      <c r="O54" s="43">
        <v>8</v>
      </c>
      <c r="P54" s="43">
        <v>16</v>
      </c>
      <c r="Q54" s="43">
        <v>240</v>
      </c>
      <c r="R54" s="43" t="b">
        <f t="shared" si="6"/>
        <v>1</v>
      </c>
      <c r="S54" s="43" t="b">
        <f t="shared" si="6"/>
        <v>1</v>
      </c>
      <c r="T54" s="43" t="b">
        <f t="shared" si="1"/>
        <v>1</v>
      </c>
      <c r="U54" s="43"/>
      <c r="V54" s="43">
        <f>VLOOKUP(H54,[1]Sheet3!A:N,9,0)</f>
        <v>35.9</v>
      </c>
      <c r="W54" s="43">
        <f>VLOOKUP(H54,[1]Sheet3!A:N,10,0)</f>
        <v>34.0025</v>
      </c>
      <c r="X54" s="43">
        <f>VLOOKUP(H54,[1]Sheet3!A:N,11,0)</f>
        <v>35.55</v>
      </c>
      <c r="Y54" s="43">
        <f>VLOOKUP(H54,[1]Sheet3!A:N,12,0)</f>
        <v>35.4475</v>
      </c>
      <c r="Z54" s="43">
        <f>VLOOKUP(H54,[1]Sheet3!A:N,13,0)</f>
        <v>81.8924</v>
      </c>
      <c r="AA54" s="43">
        <f>VLOOKUP(H54,[1]Sheet3!A:N,14,0)</f>
        <v>81.6327</v>
      </c>
      <c r="AB54" s="43">
        <f t="shared" si="2"/>
        <v>196.54176</v>
      </c>
      <c r="AC54" s="51">
        <f t="shared" si="3"/>
        <v>0.818924</v>
      </c>
    </row>
    <row r="55" ht="34" spans="1:29">
      <c r="A55" s="20"/>
      <c r="B55" s="20" t="s">
        <v>29</v>
      </c>
      <c r="C55" s="20">
        <v>8</v>
      </c>
      <c r="D55" s="20">
        <v>16</v>
      </c>
      <c r="E55" s="20" t="s">
        <v>65</v>
      </c>
      <c r="F55" s="20"/>
      <c r="G55" s="20">
        <v>1</v>
      </c>
      <c r="H55" s="20" t="s">
        <v>116</v>
      </c>
      <c r="I55" s="20" t="s">
        <v>114</v>
      </c>
      <c r="J55" s="20" t="s">
        <v>115</v>
      </c>
      <c r="K55" s="20">
        <v>8</v>
      </c>
      <c r="L55" s="20">
        <v>16</v>
      </c>
      <c r="M55" s="20" t="s">
        <v>65</v>
      </c>
      <c r="N55" s="20">
        <v>240</v>
      </c>
      <c r="O55" s="43">
        <v>8</v>
      </c>
      <c r="P55" s="43">
        <v>16</v>
      </c>
      <c r="Q55" s="43">
        <v>240</v>
      </c>
      <c r="R55" s="43" t="b">
        <f t="shared" si="6"/>
        <v>1</v>
      </c>
      <c r="S55" s="43" t="b">
        <f t="shared" si="6"/>
        <v>1</v>
      </c>
      <c r="T55" s="43" t="b">
        <f t="shared" si="1"/>
        <v>1</v>
      </c>
      <c r="U55" s="43"/>
      <c r="V55" s="43">
        <f>VLOOKUP(H55,[1]Sheet3!A:N,9,0)</f>
        <v>0.37</v>
      </c>
      <c r="W55" s="43">
        <f>VLOOKUP(H55,[1]Sheet3!A:N,10,0)</f>
        <v>0.35</v>
      </c>
      <c r="X55" s="43">
        <f>VLOOKUP(H55,[1]Sheet3!A:N,11,0)</f>
        <v>17.11</v>
      </c>
      <c r="Y55" s="43">
        <f>VLOOKUP(H55,[1]Sheet3!A:N,12,0)</f>
        <v>17.095</v>
      </c>
      <c r="Z55" s="43">
        <f>VLOOKUP(H55,[1]Sheet3!A:N,13,0)</f>
        <v>2.5856</v>
      </c>
      <c r="AA55" s="43">
        <f>VLOOKUP(H55,[1]Sheet3!A:N,14,0)</f>
        <v>2.5826</v>
      </c>
      <c r="AB55" s="43">
        <f t="shared" si="2"/>
        <v>6.20544</v>
      </c>
      <c r="AC55" s="50">
        <f t="shared" si="3"/>
        <v>0.025856</v>
      </c>
    </row>
    <row r="56" ht="34" spans="1:29">
      <c r="A56" s="20"/>
      <c r="B56" s="20" t="s">
        <v>29</v>
      </c>
      <c r="C56" s="20">
        <v>8</v>
      </c>
      <c r="D56" s="20">
        <v>16</v>
      </c>
      <c r="E56" s="20" t="s">
        <v>117</v>
      </c>
      <c r="F56" s="20" t="s">
        <v>118</v>
      </c>
      <c r="G56" s="20">
        <v>1</v>
      </c>
      <c r="H56" s="20" t="s">
        <v>119</v>
      </c>
      <c r="I56" s="20" t="s">
        <v>120</v>
      </c>
      <c r="J56" s="20" t="s">
        <v>121</v>
      </c>
      <c r="K56" s="20">
        <v>8</v>
      </c>
      <c r="L56" s="20">
        <v>16</v>
      </c>
      <c r="M56" s="20" t="s">
        <v>122</v>
      </c>
      <c r="N56" s="45">
        <v>1040</v>
      </c>
      <c r="O56" s="43">
        <v>8</v>
      </c>
      <c r="P56" s="43">
        <v>16</v>
      </c>
      <c r="Q56" s="47">
        <v>1340</v>
      </c>
      <c r="R56" s="43" t="b">
        <f t="shared" si="6"/>
        <v>1</v>
      </c>
      <c r="S56" s="43" t="b">
        <f t="shared" si="6"/>
        <v>1</v>
      </c>
      <c r="T56" s="43" t="b">
        <f t="shared" si="1"/>
        <v>0</v>
      </c>
      <c r="U56" s="43">
        <f>Q56-N56</f>
        <v>300</v>
      </c>
      <c r="V56" s="43">
        <f>VLOOKUP(H56,[1]Sheet3!A:N,9,0)</f>
        <v>62.8</v>
      </c>
      <c r="W56" s="43">
        <f>VLOOKUP(H56,[1]Sheet3!A:N,10,0)</f>
        <v>39.32</v>
      </c>
      <c r="X56" s="43">
        <f>VLOOKUP(H56,[1]Sheet3!A:N,11,0)</f>
        <v>50.31</v>
      </c>
      <c r="Y56" s="43">
        <f>VLOOKUP(H56,[1]Sheet3!A:N,12,0)</f>
        <v>50.11</v>
      </c>
      <c r="Z56" s="43">
        <f>VLOOKUP(H56,[1]Sheet3!A:N,13,0)</f>
        <v>46.1938</v>
      </c>
      <c r="AA56" s="43">
        <f>VLOOKUP(H56,[1]Sheet3!A:N,14,0)</f>
        <v>46.0276</v>
      </c>
      <c r="AB56" s="43">
        <f t="shared" si="2"/>
        <v>618.99692</v>
      </c>
      <c r="AC56" s="50">
        <f t="shared" si="3"/>
        <v>0.595189346153846</v>
      </c>
    </row>
    <row r="57" ht="34" spans="1:29">
      <c r="A57" s="20"/>
      <c r="B57" s="20" t="s">
        <v>29</v>
      </c>
      <c r="C57" s="20">
        <v>8</v>
      </c>
      <c r="D57" s="20">
        <v>16</v>
      </c>
      <c r="E57" s="20" t="s">
        <v>117</v>
      </c>
      <c r="F57" s="20" t="s">
        <v>118</v>
      </c>
      <c r="G57" s="20">
        <v>1</v>
      </c>
      <c r="H57" s="20" t="s">
        <v>123</v>
      </c>
      <c r="I57" s="20" t="s">
        <v>120</v>
      </c>
      <c r="J57" s="20" t="s">
        <v>121</v>
      </c>
      <c r="K57" s="20">
        <v>8</v>
      </c>
      <c r="L57" s="20">
        <v>16</v>
      </c>
      <c r="M57" s="20" t="s">
        <v>122</v>
      </c>
      <c r="N57" s="45">
        <v>1040</v>
      </c>
      <c r="O57" s="43">
        <v>8</v>
      </c>
      <c r="P57" s="43">
        <v>16</v>
      </c>
      <c r="Q57" s="47">
        <v>1340</v>
      </c>
      <c r="R57" s="43" t="b">
        <f t="shared" si="6"/>
        <v>1</v>
      </c>
      <c r="S57" s="43" t="b">
        <f t="shared" si="6"/>
        <v>1</v>
      </c>
      <c r="T57" s="43" t="b">
        <f t="shared" si="1"/>
        <v>0</v>
      </c>
      <c r="U57" s="43">
        <f>Q57-N57</f>
        <v>300</v>
      </c>
      <c r="V57" s="43">
        <f>VLOOKUP(H57,[1]Sheet3!A:N,9,0)</f>
        <v>0.88</v>
      </c>
      <c r="W57" s="43">
        <f>VLOOKUP(H57,[1]Sheet3!A:N,10,0)</f>
        <v>0.8325</v>
      </c>
      <c r="X57" s="43">
        <f>VLOOKUP(H57,[1]Sheet3!A:N,11,0)</f>
        <v>47.28</v>
      </c>
      <c r="Y57" s="43">
        <f>VLOOKUP(H57,[1]Sheet3!A:N,12,0)</f>
        <v>47.1475</v>
      </c>
      <c r="Z57" s="43">
        <f>VLOOKUP(H57,[1]Sheet3!A:N,13,0)</f>
        <v>46.298</v>
      </c>
      <c r="AA57" s="43">
        <f>VLOOKUP(H57,[1]Sheet3!A:N,14,0)</f>
        <v>46.2905</v>
      </c>
      <c r="AB57" s="43">
        <f t="shared" si="2"/>
        <v>620.3932</v>
      </c>
      <c r="AC57" s="50">
        <f t="shared" si="3"/>
        <v>0.596531923076923</v>
      </c>
    </row>
    <row r="58" ht="34" spans="1:29">
      <c r="A58" s="20"/>
      <c r="B58" s="20" t="s">
        <v>29</v>
      </c>
      <c r="C58" s="20">
        <v>8</v>
      </c>
      <c r="D58" s="20">
        <v>16</v>
      </c>
      <c r="E58" s="20" t="s">
        <v>117</v>
      </c>
      <c r="F58" s="20" t="s">
        <v>118</v>
      </c>
      <c r="G58" s="20">
        <v>1</v>
      </c>
      <c r="H58" s="20" t="s">
        <v>124</v>
      </c>
      <c r="I58" s="20" t="s">
        <v>120</v>
      </c>
      <c r="J58" s="20" t="s">
        <v>121</v>
      </c>
      <c r="K58" s="20">
        <v>8</v>
      </c>
      <c r="L58" s="20">
        <v>16</v>
      </c>
      <c r="M58" s="20" t="s">
        <v>122</v>
      </c>
      <c r="N58" s="20">
        <v>1040</v>
      </c>
      <c r="O58" s="43">
        <v>8</v>
      </c>
      <c r="P58" s="43">
        <v>16</v>
      </c>
      <c r="Q58" s="43">
        <v>1040</v>
      </c>
      <c r="R58" s="43" t="b">
        <f t="shared" si="6"/>
        <v>1</v>
      </c>
      <c r="S58" s="43" t="b">
        <f t="shared" si="6"/>
        <v>1</v>
      </c>
      <c r="T58" s="43" t="b">
        <f t="shared" si="1"/>
        <v>1</v>
      </c>
      <c r="U58" s="43"/>
      <c r="V58" s="43">
        <f>VLOOKUP(H58,[1]Sheet3!A:N,9,0)</f>
        <v>25.63</v>
      </c>
      <c r="W58" s="43">
        <f>VLOOKUP(H58,[1]Sheet3!A:N,10,0)</f>
        <v>25.4525</v>
      </c>
      <c r="X58" s="43">
        <f>VLOOKUP(H58,[1]Sheet3!A:N,11,0)</f>
        <v>74.49</v>
      </c>
      <c r="Y58" s="43">
        <f>VLOOKUP(H58,[1]Sheet3!A:N,12,0)</f>
        <v>74.445</v>
      </c>
      <c r="Z58" s="43">
        <f>VLOOKUP(H58,[1]Sheet3!A:N,13,0)</f>
        <v>36.7974</v>
      </c>
      <c r="AA58" s="43">
        <f>VLOOKUP(H58,[1]Sheet3!A:N,14,0)</f>
        <v>36.7653</v>
      </c>
      <c r="AB58" s="43">
        <f t="shared" si="2"/>
        <v>382.69296</v>
      </c>
      <c r="AC58" s="50">
        <f t="shared" si="3"/>
        <v>0.367974</v>
      </c>
    </row>
    <row r="59" ht="17" spans="1:29">
      <c r="A59" s="20"/>
      <c r="B59" s="20" t="s">
        <v>77</v>
      </c>
      <c r="C59" s="20">
        <v>4</v>
      </c>
      <c r="D59" s="20">
        <v>16</v>
      </c>
      <c r="E59" s="42">
        <v>300</v>
      </c>
      <c r="F59" s="20" t="s">
        <v>118</v>
      </c>
      <c r="G59" s="20">
        <v>1</v>
      </c>
      <c r="H59" s="20" t="s">
        <v>125</v>
      </c>
      <c r="I59" s="20" t="s">
        <v>126</v>
      </c>
      <c r="J59" s="20" t="s">
        <v>80</v>
      </c>
      <c r="K59" s="20">
        <v>4</v>
      </c>
      <c r="L59" s="20">
        <v>16</v>
      </c>
      <c r="M59" s="20">
        <v>300</v>
      </c>
      <c r="N59" s="45">
        <v>300</v>
      </c>
      <c r="O59" s="43">
        <v>4</v>
      </c>
      <c r="P59" s="43">
        <v>16</v>
      </c>
      <c r="Q59" s="47">
        <v>600</v>
      </c>
      <c r="R59" s="43" t="b">
        <f t="shared" si="6"/>
        <v>1</v>
      </c>
      <c r="S59" s="43" t="b">
        <f t="shared" si="6"/>
        <v>1</v>
      </c>
      <c r="T59" s="43" t="b">
        <f t="shared" si="1"/>
        <v>0</v>
      </c>
      <c r="U59" s="43">
        <f t="shared" ref="U59:U65" si="7">Q59-N59</f>
        <v>300</v>
      </c>
      <c r="V59" s="43">
        <f>VLOOKUP(H59,[1]Sheet3!A:N,9,0)</f>
        <v>0.67</v>
      </c>
      <c r="W59" s="43">
        <f>VLOOKUP(H59,[1]Sheet3!A:N,10,0)</f>
        <v>0.64</v>
      </c>
      <c r="X59" s="43">
        <f>VLOOKUP(H59,[1]Sheet3!A:N,11,0)</f>
        <v>17.38</v>
      </c>
      <c r="Y59" s="43">
        <f>VLOOKUP(H59,[1]Sheet3!A:N,12,0)</f>
        <v>17.335</v>
      </c>
      <c r="Z59" s="43">
        <f>VLOOKUP(H59,[1]Sheet3!A:N,13,0)</f>
        <v>49.8923</v>
      </c>
      <c r="AA59" s="43">
        <f>VLOOKUP(H59,[1]Sheet3!A:N,14,0)</f>
        <v>49.8874</v>
      </c>
      <c r="AB59" s="43">
        <f t="shared" si="2"/>
        <v>299.3538</v>
      </c>
      <c r="AC59" s="51">
        <f t="shared" si="3"/>
        <v>0.997846</v>
      </c>
    </row>
    <row r="60" ht="17" spans="1:29">
      <c r="A60" s="20"/>
      <c r="B60" s="20" t="s">
        <v>77</v>
      </c>
      <c r="C60" s="20">
        <v>8</v>
      </c>
      <c r="D60" s="20">
        <v>16</v>
      </c>
      <c r="E60" s="42">
        <v>300</v>
      </c>
      <c r="F60" s="20" t="s">
        <v>118</v>
      </c>
      <c r="G60" s="20">
        <v>1</v>
      </c>
      <c r="H60" s="20" t="s">
        <v>127</v>
      </c>
      <c r="I60" s="20" t="s">
        <v>128</v>
      </c>
      <c r="J60" s="20" t="s">
        <v>129</v>
      </c>
      <c r="K60" s="20">
        <v>8</v>
      </c>
      <c r="L60" s="20">
        <v>16</v>
      </c>
      <c r="M60" s="20">
        <v>300</v>
      </c>
      <c r="N60" s="45">
        <v>300</v>
      </c>
      <c r="O60" s="43">
        <v>8</v>
      </c>
      <c r="P60" s="43">
        <v>16</v>
      </c>
      <c r="Q60" s="47">
        <v>500</v>
      </c>
      <c r="R60" s="43" t="b">
        <f t="shared" si="6"/>
        <v>1</v>
      </c>
      <c r="S60" s="43" t="b">
        <f t="shared" si="6"/>
        <v>1</v>
      </c>
      <c r="T60" s="43" t="b">
        <f t="shared" si="1"/>
        <v>0</v>
      </c>
      <c r="U60" s="43">
        <f t="shared" si="7"/>
        <v>200</v>
      </c>
      <c r="V60" s="43">
        <f>VLOOKUP(H60,[1]Sheet3!A:N,9,0)</f>
        <v>29.4</v>
      </c>
      <c r="W60" s="43">
        <f>VLOOKUP(H60,[1]Sheet3!A:N,10,0)</f>
        <v>27.0414</v>
      </c>
      <c r="X60" s="43">
        <f>VLOOKUP(H60,[1]Sheet3!A:N,11,0)</f>
        <v>35.81</v>
      </c>
      <c r="Y60" s="43">
        <f>VLOOKUP(H60,[1]Sheet3!A:N,12,0)</f>
        <v>35.6575</v>
      </c>
      <c r="Z60" s="43">
        <f>VLOOKUP(H60,[1]Sheet3!A:N,13,0)</f>
        <v>51.4703</v>
      </c>
      <c r="AA60" s="43">
        <f>VLOOKUP(H60,[1]Sheet3!A:N,14,0)</f>
        <v>51.217</v>
      </c>
      <c r="AB60" s="43">
        <f t="shared" si="2"/>
        <v>257.3515</v>
      </c>
      <c r="AC60" s="51">
        <f t="shared" si="3"/>
        <v>0.857838333333333</v>
      </c>
    </row>
    <row r="61" ht="17" spans="1:29">
      <c r="A61" s="20" t="s">
        <v>130</v>
      </c>
      <c r="B61" s="20" t="s">
        <v>131</v>
      </c>
      <c r="C61" s="20">
        <v>4</v>
      </c>
      <c r="D61" s="20">
        <v>8</v>
      </c>
      <c r="E61" s="20">
        <v>40</v>
      </c>
      <c r="F61" s="20"/>
      <c r="G61" s="20">
        <v>1</v>
      </c>
      <c r="H61" s="20" t="s">
        <v>132</v>
      </c>
      <c r="I61" s="20" t="s">
        <v>93</v>
      </c>
      <c r="J61" s="20" t="s">
        <v>94</v>
      </c>
      <c r="K61" s="20">
        <v>4</v>
      </c>
      <c r="L61" s="20">
        <v>8</v>
      </c>
      <c r="M61" s="20" t="s">
        <v>95</v>
      </c>
      <c r="N61" s="45">
        <v>80</v>
      </c>
      <c r="O61" s="43">
        <v>4</v>
      </c>
      <c r="P61" s="43">
        <v>8</v>
      </c>
      <c r="Q61" s="47">
        <v>580</v>
      </c>
      <c r="R61" s="43" t="b">
        <f t="shared" si="6"/>
        <v>1</v>
      </c>
      <c r="S61" s="43" t="b">
        <f t="shared" si="6"/>
        <v>1</v>
      </c>
      <c r="T61" s="43" t="b">
        <f t="shared" si="1"/>
        <v>0</v>
      </c>
      <c r="U61" s="43">
        <f t="shared" si="7"/>
        <v>500</v>
      </c>
      <c r="V61" s="43">
        <f>VLOOKUP(H61,[1]Sheet3!A:N,9,0)</f>
        <v>43.85</v>
      </c>
      <c r="W61" s="43">
        <f>VLOOKUP(H61,[1]Sheet3!A:N,10,0)</f>
        <v>41.4475</v>
      </c>
      <c r="X61" s="43">
        <f>VLOOKUP(H61,[1]Sheet3!A:N,11,0)</f>
        <v>81.71</v>
      </c>
      <c r="Y61" s="43">
        <f>VLOOKUP(H61,[1]Sheet3!A:N,12,0)</f>
        <v>81.6775</v>
      </c>
      <c r="Z61" s="43">
        <f>VLOOKUP(H61,[1]Sheet3!A:N,13,0)</f>
        <v>30.9427</v>
      </c>
      <c r="AA61" s="43">
        <f>VLOOKUP(H61,[1]Sheet3!A:N,14,0)</f>
        <v>30.916</v>
      </c>
      <c r="AB61" s="43">
        <f t="shared" si="2"/>
        <v>179.46766</v>
      </c>
      <c r="AC61" s="51">
        <f t="shared" si="3"/>
        <v>2.24334575</v>
      </c>
    </row>
    <row r="62" ht="17" spans="1:29">
      <c r="A62" s="20"/>
      <c r="B62" s="20" t="s">
        <v>131</v>
      </c>
      <c r="C62" s="20">
        <v>4</v>
      </c>
      <c r="D62" s="20">
        <v>8</v>
      </c>
      <c r="E62" s="20">
        <v>40</v>
      </c>
      <c r="F62" s="20"/>
      <c r="G62" s="20">
        <v>1</v>
      </c>
      <c r="H62" s="20" t="s">
        <v>133</v>
      </c>
      <c r="I62" s="20" t="s">
        <v>93</v>
      </c>
      <c r="J62" s="20" t="s">
        <v>94</v>
      </c>
      <c r="K62" s="20">
        <v>4</v>
      </c>
      <c r="L62" s="20">
        <v>8</v>
      </c>
      <c r="M62" s="20" t="s">
        <v>95</v>
      </c>
      <c r="N62" s="45">
        <v>80</v>
      </c>
      <c r="O62" s="43">
        <v>4</v>
      </c>
      <c r="P62" s="43">
        <v>8</v>
      </c>
      <c r="Q62" s="47">
        <v>580</v>
      </c>
      <c r="R62" s="43" t="b">
        <f t="shared" si="6"/>
        <v>1</v>
      </c>
      <c r="S62" s="43" t="b">
        <f t="shared" si="6"/>
        <v>1</v>
      </c>
      <c r="T62" s="43" t="b">
        <f t="shared" si="1"/>
        <v>0</v>
      </c>
      <c r="U62" s="43">
        <f t="shared" si="7"/>
        <v>500</v>
      </c>
      <c r="V62" s="43">
        <f>VLOOKUP(H62,[1]Sheet3!A:N,9,0)</f>
        <v>46.43</v>
      </c>
      <c r="W62" s="43">
        <f>VLOOKUP(H62,[1]Sheet3!A:N,10,0)</f>
        <v>42.6875</v>
      </c>
      <c r="X62" s="43">
        <f>VLOOKUP(H62,[1]Sheet3!A:N,11,0)</f>
        <v>80.53</v>
      </c>
      <c r="Y62" s="43">
        <f>VLOOKUP(H62,[1]Sheet3!A:N,12,0)</f>
        <v>80.42</v>
      </c>
      <c r="Z62" s="43">
        <f>VLOOKUP(H62,[1]Sheet3!A:N,13,0)</f>
        <v>33.4697</v>
      </c>
      <c r="AA62" s="43">
        <f>VLOOKUP(H62,[1]Sheet3!A:N,14,0)</f>
        <v>33.4211</v>
      </c>
      <c r="AB62" s="43">
        <f t="shared" si="2"/>
        <v>194.12426</v>
      </c>
      <c r="AC62" s="51">
        <f t="shared" si="3"/>
        <v>2.42655325</v>
      </c>
    </row>
    <row r="63" ht="17" spans="1:29">
      <c r="A63" s="20"/>
      <c r="B63" s="20" t="s">
        <v>77</v>
      </c>
      <c r="C63" s="20">
        <v>8</v>
      </c>
      <c r="D63" s="20">
        <v>16</v>
      </c>
      <c r="E63" s="42">
        <v>300</v>
      </c>
      <c r="F63" s="20" t="s">
        <v>134</v>
      </c>
      <c r="G63" s="20">
        <v>1</v>
      </c>
      <c r="H63" s="20" t="s">
        <v>135</v>
      </c>
      <c r="I63" s="20" t="s">
        <v>136</v>
      </c>
      <c r="J63" s="20" t="s">
        <v>129</v>
      </c>
      <c r="K63" s="20">
        <v>8</v>
      </c>
      <c r="L63" s="20">
        <v>16</v>
      </c>
      <c r="M63" s="20">
        <v>300</v>
      </c>
      <c r="N63" s="45">
        <v>300</v>
      </c>
      <c r="O63" s="43">
        <v>8</v>
      </c>
      <c r="P63" s="43">
        <v>16</v>
      </c>
      <c r="Q63" s="47">
        <v>640</v>
      </c>
      <c r="R63" s="43" t="b">
        <f t="shared" si="6"/>
        <v>1</v>
      </c>
      <c r="S63" s="43" t="b">
        <f t="shared" si="6"/>
        <v>1</v>
      </c>
      <c r="T63" s="43" t="b">
        <f t="shared" si="1"/>
        <v>0</v>
      </c>
      <c r="U63" s="43">
        <f t="shared" si="7"/>
        <v>340</v>
      </c>
      <c r="V63" s="43">
        <f>VLOOKUP(H63,[1]Sheet3!A:N,9,0)</f>
        <v>0.6562</v>
      </c>
      <c r="W63" s="43">
        <f>VLOOKUP(H63,[1]Sheet3!A:N,10,0)</f>
        <v>0.5233</v>
      </c>
      <c r="X63" s="43">
        <f>VLOOKUP(H63,[1]Sheet3!A:N,11,0)</f>
        <v>22.36</v>
      </c>
      <c r="Y63" s="43">
        <f>VLOOKUP(H63,[1]Sheet3!A:N,12,0)</f>
        <v>22.1375</v>
      </c>
      <c r="Z63" s="43">
        <f>VLOOKUP(H63,[1]Sheet3!A:N,13,0)</f>
        <v>5.7843</v>
      </c>
      <c r="AA63" s="43">
        <f>VLOOKUP(H63,[1]Sheet3!A:N,14,0)</f>
        <v>5.7787</v>
      </c>
      <c r="AB63" s="43">
        <f t="shared" si="2"/>
        <v>37.01952</v>
      </c>
      <c r="AC63" s="50">
        <f t="shared" si="3"/>
        <v>0.1233984</v>
      </c>
    </row>
    <row r="64" ht="17" spans="1:29">
      <c r="A64" s="20"/>
      <c r="B64" s="20" t="s">
        <v>77</v>
      </c>
      <c r="C64" s="20">
        <v>8</v>
      </c>
      <c r="D64" s="20">
        <v>16</v>
      </c>
      <c r="E64" s="42">
        <v>300</v>
      </c>
      <c r="F64" s="20" t="s">
        <v>134</v>
      </c>
      <c r="G64" s="20">
        <v>1</v>
      </c>
      <c r="H64" s="20" t="s">
        <v>137</v>
      </c>
      <c r="I64" s="20" t="s">
        <v>136</v>
      </c>
      <c r="J64" s="20" t="s">
        <v>129</v>
      </c>
      <c r="K64" s="20">
        <v>8</v>
      </c>
      <c r="L64" s="20">
        <v>16</v>
      </c>
      <c r="M64" s="20">
        <v>300</v>
      </c>
      <c r="N64" s="45">
        <v>300</v>
      </c>
      <c r="O64" s="43">
        <v>8</v>
      </c>
      <c r="P64" s="43">
        <v>16</v>
      </c>
      <c r="Q64" s="47">
        <v>640</v>
      </c>
      <c r="R64" s="43" t="b">
        <f t="shared" si="6"/>
        <v>1</v>
      </c>
      <c r="S64" s="43" t="b">
        <f t="shared" si="6"/>
        <v>1</v>
      </c>
      <c r="T64" s="43" t="b">
        <f t="shared" si="1"/>
        <v>0</v>
      </c>
      <c r="U64" s="43">
        <f t="shared" si="7"/>
        <v>340</v>
      </c>
      <c r="V64" s="43">
        <f>VLOOKUP(H64,[1]Sheet3!A:N,9,0)</f>
        <v>0.84</v>
      </c>
      <c r="W64" s="43">
        <f>VLOOKUP(H64,[1]Sheet3!A:N,10,0)</f>
        <v>0.615</v>
      </c>
      <c r="X64" s="43">
        <f>VLOOKUP(H64,[1]Sheet3!A:N,11,0)</f>
        <v>22.72</v>
      </c>
      <c r="Y64" s="43">
        <f>VLOOKUP(H64,[1]Sheet3!A:N,12,0)</f>
        <v>22.69</v>
      </c>
      <c r="Z64" s="43">
        <f>VLOOKUP(H64,[1]Sheet3!A:N,13,0)</f>
        <v>4.6353</v>
      </c>
      <c r="AA64" s="43">
        <f>VLOOKUP(H64,[1]Sheet3!A:N,14,0)</f>
        <v>4.6219</v>
      </c>
      <c r="AB64" s="43">
        <f t="shared" si="2"/>
        <v>29.66592</v>
      </c>
      <c r="AC64" s="50">
        <f t="shared" si="3"/>
        <v>0.0988864</v>
      </c>
    </row>
    <row r="65" ht="17" spans="1:29">
      <c r="A65" s="20"/>
      <c r="B65" s="20" t="s">
        <v>77</v>
      </c>
      <c r="C65" s="20">
        <v>8</v>
      </c>
      <c r="D65" s="20">
        <v>16</v>
      </c>
      <c r="E65" s="42">
        <v>300</v>
      </c>
      <c r="F65" s="20" t="s">
        <v>134</v>
      </c>
      <c r="G65" s="20">
        <v>1</v>
      </c>
      <c r="H65" s="20" t="s">
        <v>138</v>
      </c>
      <c r="I65" s="20" t="s">
        <v>136</v>
      </c>
      <c r="J65" s="20" t="s">
        <v>129</v>
      </c>
      <c r="K65" s="20">
        <v>8</v>
      </c>
      <c r="L65" s="20">
        <v>16</v>
      </c>
      <c r="M65" s="20">
        <v>300</v>
      </c>
      <c r="N65" s="45">
        <v>300</v>
      </c>
      <c r="O65" s="43">
        <v>8</v>
      </c>
      <c r="P65" s="43">
        <v>16</v>
      </c>
      <c r="Q65" s="47">
        <v>640</v>
      </c>
      <c r="R65" s="43" t="b">
        <f t="shared" si="6"/>
        <v>1</v>
      </c>
      <c r="S65" s="43" t="b">
        <f t="shared" si="6"/>
        <v>1</v>
      </c>
      <c r="T65" s="43" t="b">
        <f t="shared" si="1"/>
        <v>0</v>
      </c>
      <c r="U65" s="43">
        <f t="shared" si="7"/>
        <v>340</v>
      </c>
      <c r="V65" s="43">
        <f>VLOOKUP(H65,[1]Sheet3!A:N,9,0)</f>
        <v>0.38</v>
      </c>
      <c r="W65" s="43">
        <f>VLOOKUP(H65,[1]Sheet3!A:N,10,0)</f>
        <v>0.345</v>
      </c>
      <c r="X65" s="43">
        <f>VLOOKUP(H65,[1]Sheet3!A:N,11,0)</f>
        <v>15.89</v>
      </c>
      <c r="Y65" s="43">
        <f>VLOOKUP(H65,[1]Sheet3!A:N,12,0)</f>
        <v>15.8575</v>
      </c>
      <c r="Z65" s="43">
        <f>VLOOKUP(H65,[1]Sheet3!A:N,13,0)</f>
        <v>10.1209</v>
      </c>
      <c r="AA65" s="43">
        <f>VLOOKUP(H65,[1]Sheet3!A:N,14,0)</f>
        <v>10.0919</v>
      </c>
      <c r="AB65" s="43">
        <f t="shared" si="2"/>
        <v>64.77376</v>
      </c>
      <c r="AC65" s="50">
        <f t="shared" si="3"/>
        <v>0.215912533333333</v>
      </c>
    </row>
  </sheetData>
  <autoFilter xmlns:etc="http://www.wps.cn/officeDocument/2017/etCustomData" ref="A2:AC65" etc:filterBottomFollowUsedRange="0">
    <extLst/>
  </autoFilter>
  <mergeCells count="6">
    <mergeCell ref="K1:N1"/>
    <mergeCell ref="O1:Q1"/>
    <mergeCell ref="V1:AC1"/>
    <mergeCell ref="A3:A41"/>
    <mergeCell ref="A42:A60"/>
    <mergeCell ref="A61:A6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65"/>
  <sheetViews>
    <sheetView tabSelected="1" workbookViewId="0">
      <selection activeCell="A1" sqref="A1:F65"/>
    </sheetView>
  </sheetViews>
  <sheetFormatPr defaultColWidth="9.14285714285714" defaultRowHeight="16.8" outlineLevelCol="5"/>
  <cols>
    <col min="1" max="1" width="25" style="11" customWidth="1"/>
    <col min="2" max="2" width="18.3303571428571" style="11" customWidth="1"/>
    <col min="3" max="3" width="55" style="11" customWidth="1"/>
    <col min="4" max="4" width="8.35714285714286" style="12"/>
  </cols>
  <sheetData>
    <row r="1" ht="56" customHeight="1" spans="1:6">
      <c r="A1" s="13" t="s">
        <v>139</v>
      </c>
      <c r="B1" s="14" t="s">
        <v>140</v>
      </c>
      <c r="C1" s="15"/>
      <c r="D1" s="16"/>
      <c r="E1" s="15"/>
      <c r="F1" s="15"/>
    </row>
    <row r="2" ht="21" spans="1:6">
      <c r="A2" s="17" t="s">
        <v>0</v>
      </c>
      <c r="B2" s="18" t="s">
        <v>5</v>
      </c>
      <c r="C2" s="18" t="s">
        <v>6</v>
      </c>
      <c r="D2" s="18" t="s">
        <v>141</v>
      </c>
      <c r="E2" s="18" t="s">
        <v>142</v>
      </c>
      <c r="F2" s="18" t="s">
        <v>143</v>
      </c>
    </row>
    <row r="3" ht="17.6" hidden="1" spans="1:4">
      <c r="A3" s="19" t="s">
        <v>28</v>
      </c>
      <c r="B3" s="20" t="s">
        <v>48</v>
      </c>
      <c r="C3" s="20" t="s">
        <v>42</v>
      </c>
      <c r="D3" s="4" t="s">
        <v>144</v>
      </c>
    </row>
    <row r="4" ht="17.6" hidden="1" spans="1:4">
      <c r="A4" s="21"/>
      <c r="B4" s="20" t="s">
        <v>41</v>
      </c>
      <c r="C4" s="20" t="s">
        <v>42</v>
      </c>
      <c r="D4" s="4" t="s">
        <v>144</v>
      </c>
    </row>
    <row r="5" ht="17.6" hidden="1" spans="1:4">
      <c r="A5" s="21"/>
      <c r="B5" s="20" t="s">
        <v>44</v>
      </c>
      <c r="C5" s="20" t="s">
        <v>42</v>
      </c>
      <c r="D5" s="4" t="s">
        <v>144</v>
      </c>
    </row>
    <row r="6" ht="17.6" hidden="1" spans="1:4">
      <c r="A6" s="21"/>
      <c r="B6" s="20" t="s">
        <v>45</v>
      </c>
      <c r="C6" s="20" t="s">
        <v>42</v>
      </c>
      <c r="D6" s="4" t="s">
        <v>144</v>
      </c>
    </row>
    <row r="7" ht="17.6" hidden="1" spans="1:4">
      <c r="A7" s="21"/>
      <c r="B7" s="20" t="s">
        <v>46</v>
      </c>
      <c r="C7" s="20" t="s">
        <v>42</v>
      </c>
      <c r="D7" s="4" t="s">
        <v>144</v>
      </c>
    </row>
    <row r="8" ht="17.6" hidden="1" spans="1:4">
      <c r="A8" s="21"/>
      <c r="B8" s="20" t="s">
        <v>47</v>
      </c>
      <c r="C8" s="20" t="s">
        <v>42</v>
      </c>
      <c r="D8" s="4" t="s">
        <v>144</v>
      </c>
    </row>
    <row r="9" ht="17.6" hidden="1" spans="1:4">
      <c r="A9" s="21"/>
      <c r="B9" s="20" t="s">
        <v>82</v>
      </c>
      <c r="C9" s="20" t="s">
        <v>79</v>
      </c>
      <c r="D9" s="4" t="s">
        <v>144</v>
      </c>
    </row>
    <row r="10" ht="17.6" hidden="1" spans="1:4">
      <c r="A10" s="21"/>
      <c r="B10" s="20" t="s">
        <v>49</v>
      </c>
      <c r="C10" s="20" t="s">
        <v>42</v>
      </c>
      <c r="D10" s="4" t="s">
        <v>144</v>
      </c>
    </row>
    <row r="11" ht="17.6" hidden="1" spans="1:4">
      <c r="A11" s="21"/>
      <c r="B11" s="20" t="s">
        <v>50</v>
      </c>
      <c r="C11" s="20" t="s">
        <v>42</v>
      </c>
      <c r="D11" s="4" t="s">
        <v>144</v>
      </c>
    </row>
    <row r="12" ht="17.6" hidden="1" spans="1:4">
      <c r="A12" s="21"/>
      <c r="B12" s="22" t="s">
        <v>51</v>
      </c>
      <c r="C12" s="22" t="s">
        <v>42</v>
      </c>
      <c r="D12" s="23" t="s">
        <v>144</v>
      </c>
    </row>
    <row r="13" ht="17.6" spans="1:6">
      <c r="A13" s="24"/>
      <c r="B13" s="20" t="s">
        <v>81</v>
      </c>
      <c r="C13" s="20" t="s">
        <v>79</v>
      </c>
      <c r="D13" s="10" t="s">
        <v>145</v>
      </c>
      <c r="E13" s="40"/>
      <c r="F13" s="40"/>
    </row>
    <row r="14" ht="17.6" hidden="1" spans="1:4">
      <c r="A14" s="21"/>
      <c r="B14" s="25" t="s">
        <v>52</v>
      </c>
      <c r="C14" s="25" t="s">
        <v>42</v>
      </c>
      <c r="D14" s="8" t="s">
        <v>144</v>
      </c>
    </row>
    <row r="15" ht="17.6" hidden="1" spans="1:4">
      <c r="A15" s="21"/>
      <c r="B15" s="20" t="s">
        <v>53</v>
      </c>
      <c r="C15" s="20" t="s">
        <v>42</v>
      </c>
      <c r="D15" s="8" t="s">
        <v>144</v>
      </c>
    </row>
    <row r="16" ht="17.6" hidden="1" spans="1:4">
      <c r="A16" s="21"/>
      <c r="B16" s="20" t="s">
        <v>54</v>
      </c>
      <c r="C16" s="20" t="s">
        <v>42</v>
      </c>
      <c r="D16" s="4" t="s">
        <v>144</v>
      </c>
    </row>
    <row r="17" ht="34" hidden="1" spans="1:4">
      <c r="A17" s="21"/>
      <c r="B17" s="20" t="s">
        <v>90</v>
      </c>
      <c r="C17" s="20" t="s">
        <v>84</v>
      </c>
      <c r="D17" s="4" t="s">
        <v>144</v>
      </c>
    </row>
    <row r="18" ht="17.6" hidden="1" spans="1:4">
      <c r="A18" s="21"/>
      <c r="B18" s="20" t="s">
        <v>78</v>
      </c>
      <c r="C18" s="20" t="s">
        <v>79</v>
      </c>
      <c r="D18" s="4" t="s">
        <v>144</v>
      </c>
    </row>
    <row r="19" ht="17" hidden="1" spans="1:4">
      <c r="A19" s="21"/>
      <c r="B19" s="20" t="s">
        <v>35</v>
      </c>
      <c r="C19" s="20" t="s">
        <v>32</v>
      </c>
      <c r="D19" s="26" t="s">
        <v>144</v>
      </c>
    </row>
    <row r="20" ht="17" hidden="1" spans="1:4">
      <c r="A20" s="21"/>
      <c r="B20" s="20" t="s">
        <v>37</v>
      </c>
      <c r="C20" s="20" t="s">
        <v>32</v>
      </c>
      <c r="D20" s="26" t="s">
        <v>144</v>
      </c>
    </row>
    <row r="21" ht="17" hidden="1" spans="1:4">
      <c r="A21" s="21"/>
      <c r="B21" s="20" t="s">
        <v>38</v>
      </c>
      <c r="C21" s="20" t="s">
        <v>32</v>
      </c>
      <c r="D21" s="26" t="s">
        <v>144</v>
      </c>
    </row>
    <row r="22" ht="17" hidden="1" spans="1:4">
      <c r="A22" s="21"/>
      <c r="B22" s="20" t="s">
        <v>39</v>
      </c>
      <c r="C22" s="20" t="s">
        <v>32</v>
      </c>
      <c r="D22" s="26" t="s">
        <v>144</v>
      </c>
    </row>
    <row r="23" ht="17" hidden="1" spans="1:4">
      <c r="A23" s="21"/>
      <c r="B23" s="20" t="s">
        <v>40</v>
      </c>
      <c r="C23" s="20" t="s">
        <v>32</v>
      </c>
      <c r="D23" s="26" t="s">
        <v>144</v>
      </c>
    </row>
    <row r="24" ht="17" hidden="1" spans="1:4">
      <c r="A24" s="21"/>
      <c r="B24" s="20" t="s">
        <v>31</v>
      </c>
      <c r="C24" s="20" t="s">
        <v>32</v>
      </c>
      <c r="D24" s="26" t="s">
        <v>144</v>
      </c>
    </row>
    <row r="25" ht="34" hidden="1" spans="1:4">
      <c r="A25" s="21"/>
      <c r="B25" s="20" t="s">
        <v>89</v>
      </c>
      <c r="C25" s="20" t="s">
        <v>84</v>
      </c>
      <c r="D25" s="27" t="s">
        <v>144</v>
      </c>
    </row>
    <row r="26" ht="17" hidden="1" spans="1:4">
      <c r="A26" s="21"/>
      <c r="B26" s="20" t="s">
        <v>34</v>
      </c>
      <c r="C26" s="20" t="s">
        <v>32</v>
      </c>
      <c r="D26" s="26" t="s">
        <v>144</v>
      </c>
    </row>
    <row r="27" ht="17" hidden="1" spans="1:4">
      <c r="A27" s="21"/>
      <c r="B27" s="22" t="s">
        <v>36</v>
      </c>
      <c r="C27" s="22" t="s">
        <v>32</v>
      </c>
      <c r="D27" s="28" t="s">
        <v>144</v>
      </c>
    </row>
    <row r="28" ht="17" spans="1:6">
      <c r="A28" s="24"/>
      <c r="B28" s="20" t="s">
        <v>64</v>
      </c>
      <c r="C28" s="20" t="s">
        <v>62</v>
      </c>
      <c r="D28" s="29" t="s">
        <v>145</v>
      </c>
      <c r="E28" s="40"/>
      <c r="F28" s="40"/>
    </row>
    <row r="29" ht="17" spans="1:6">
      <c r="A29" s="24"/>
      <c r="B29" s="20" t="s">
        <v>63</v>
      </c>
      <c r="C29" s="20" t="s">
        <v>62</v>
      </c>
      <c r="D29" s="29" t="s">
        <v>145</v>
      </c>
      <c r="E29" s="40"/>
      <c r="F29" s="40"/>
    </row>
    <row r="30" ht="17.6" spans="1:6">
      <c r="A30" s="24"/>
      <c r="B30" s="20" t="s">
        <v>61</v>
      </c>
      <c r="C30" s="20" t="s">
        <v>62</v>
      </c>
      <c r="D30" s="10" t="s">
        <v>145</v>
      </c>
      <c r="E30" s="40"/>
      <c r="F30" s="40"/>
    </row>
    <row r="31" ht="34" spans="1:6">
      <c r="A31" s="24"/>
      <c r="B31" s="20" t="s">
        <v>66</v>
      </c>
      <c r="C31" s="20" t="s">
        <v>67</v>
      </c>
      <c r="D31" s="29" t="s">
        <v>145</v>
      </c>
      <c r="E31" s="40"/>
      <c r="F31" s="40"/>
    </row>
    <row r="32" ht="17.6" spans="1:6">
      <c r="A32" s="24"/>
      <c r="B32" s="20" t="s">
        <v>60</v>
      </c>
      <c r="C32" s="20" t="s">
        <v>57</v>
      </c>
      <c r="D32" s="10" t="s">
        <v>145</v>
      </c>
      <c r="E32" s="40"/>
      <c r="F32" s="40"/>
    </row>
    <row r="33" ht="34" spans="1:6">
      <c r="A33" s="24"/>
      <c r="B33" s="20" t="s">
        <v>69</v>
      </c>
      <c r="C33" s="20" t="s">
        <v>67</v>
      </c>
      <c r="D33" s="29" t="s">
        <v>145</v>
      </c>
      <c r="E33" s="40"/>
      <c r="F33" s="40"/>
    </row>
    <row r="34" ht="17.6" spans="1:6">
      <c r="A34" s="24"/>
      <c r="B34" s="20" t="s">
        <v>56</v>
      </c>
      <c r="C34" s="20" t="s">
        <v>57</v>
      </c>
      <c r="D34" s="10" t="s">
        <v>145</v>
      </c>
      <c r="E34" s="40"/>
      <c r="F34" s="40"/>
    </row>
    <row r="35" ht="17.6" spans="1:6">
      <c r="A35" s="24"/>
      <c r="B35" s="20" t="s">
        <v>59</v>
      </c>
      <c r="C35" s="20" t="s">
        <v>57</v>
      </c>
      <c r="D35" s="10" t="s">
        <v>145</v>
      </c>
      <c r="E35" s="40"/>
      <c r="F35" s="40"/>
    </row>
    <row r="36" ht="17.6" spans="1:6">
      <c r="A36" s="24"/>
      <c r="B36" s="20" t="s">
        <v>70</v>
      </c>
      <c r="C36" s="20" t="s">
        <v>71</v>
      </c>
      <c r="D36" s="10" t="s">
        <v>145</v>
      </c>
      <c r="E36" s="40"/>
      <c r="F36" s="40"/>
    </row>
    <row r="37" ht="17.6" spans="1:6">
      <c r="A37" s="24"/>
      <c r="B37" s="20" t="s">
        <v>75</v>
      </c>
      <c r="C37" s="20" t="s">
        <v>76</v>
      </c>
      <c r="D37" s="10" t="s">
        <v>145</v>
      </c>
      <c r="E37" s="40"/>
      <c r="F37" s="40"/>
    </row>
    <row r="38" ht="34" spans="1:6">
      <c r="A38" s="24"/>
      <c r="B38" s="20" t="s">
        <v>88</v>
      </c>
      <c r="C38" s="20" t="s">
        <v>84</v>
      </c>
      <c r="D38" s="10" t="s">
        <v>145</v>
      </c>
      <c r="E38" s="40"/>
      <c r="F38" s="40"/>
    </row>
    <row r="39" ht="34" spans="1:6">
      <c r="A39" s="24"/>
      <c r="B39" s="20" t="s">
        <v>87</v>
      </c>
      <c r="C39" s="20" t="s">
        <v>84</v>
      </c>
      <c r="D39" s="10" t="s">
        <v>145</v>
      </c>
      <c r="E39" s="40"/>
      <c r="F39" s="40"/>
    </row>
    <row r="40" ht="34" hidden="1" spans="1:4">
      <c r="A40" s="21"/>
      <c r="B40" s="25" t="s">
        <v>83</v>
      </c>
      <c r="C40" s="25" t="s">
        <v>84</v>
      </c>
      <c r="D40" s="30" t="s">
        <v>144</v>
      </c>
    </row>
    <row r="41" ht="34" hidden="1" spans="1:4">
      <c r="A41" s="31"/>
      <c r="B41" s="20" t="s">
        <v>86</v>
      </c>
      <c r="C41" s="20" t="s">
        <v>84</v>
      </c>
      <c r="D41" s="26" t="s">
        <v>144</v>
      </c>
    </row>
    <row r="42" ht="17.6" hidden="1" spans="1:4">
      <c r="A42" s="32" t="s">
        <v>91</v>
      </c>
      <c r="B42" s="20" t="s">
        <v>92</v>
      </c>
      <c r="C42" s="20" t="s">
        <v>93</v>
      </c>
      <c r="D42" s="27" t="s">
        <v>144</v>
      </c>
    </row>
    <row r="43" ht="17.6" hidden="1" spans="1:4">
      <c r="A43" s="33"/>
      <c r="B43" s="20" t="s">
        <v>96</v>
      </c>
      <c r="C43" s="20" t="s">
        <v>93</v>
      </c>
      <c r="D43" s="27" t="s">
        <v>144</v>
      </c>
    </row>
    <row r="44" ht="17.6" hidden="1" spans="1:4">
      <c r="A44" s="33"/>
      <c r="B44" s="22" t="s">
        <v>108</v>
      </c>
      <c r="C44" s="22" t="s">
        <v>109</v>
      </c>
      <c r="D44" s="34" t="s">
        <v>144</v>
      </c>
    </row>
    <row r="45" ht="17" spans="1:6">
      <c r="A45" s="35"/>
      <c r="B45" s="20" t="s">
        <v>116</v>
      </c>
      <c r="C45" s="20" t="s">
        <v>114</v>
      </c>
      <c r="D45" s="29" t="s">
        <v>145</v>
      </c>
      <c r="E45" s="40"/>
      <c r="F45" s="40"/>
    </row>
    <row r="46" ht="17.6" spans="1:6">
      <c r="A46" s="35"/>
      <c r="B46" s="20" t="s">
        <v>106</v>
      </c>
      <c r="C46" s="20" t="s">
        <v>102</v>
      </c>
      <c r="D46" s="10" t="s">
        <v>145</v>
      </c>
      <c r="E46" s="40"/>
      <c r="F46" s="40"/>
    </row>
    <row r="47" ht="17.6" hidden="1" spans="1:4">
      <c r="A47" s="33"/>
      <c r="B47" s="25" t="s">
        <v>111</v>
      </c>
      <c r="C47" s="25" t="s">
        <v>109</v>
      </c>
      <c r="D47" s="36" t="s">
        <v>144</v>
      </c>
    </row>
    <row r="48" ht="17.6" hidden="1" spans="1:4">
      <c r="A48" s="33"/>
      <c r="B48" s="20" t="s">
        <v>112</v>
      </c>
      <c r="C48" s="20" t="s">
        <v>109</v>
      </c>
      <c r="D48" s="27" t="s">
        <v>144</v>
      </c>
    </row>
    <row r="49" ht="17.6" hidden="1" spans="1:4">
      <c r="A49" s="33"/>
      <c r="B49" s="22" t="s">
        <v>99</v>
      </c>
      <c r="C49" s="22" t="s">
        <v>98</v>
      </c>
      <c r="D49" s="34" t="s">
        <v>144</v>
      </c>
    </row>
    <row r="50" ht="17.6" spans="1:6">
      <c r="A50" s="35"/>
      <c r="B50" s="20" t="s">
        <v>107</v>
      </c>
      <c r="C50" s="20" t="s">
        <v>102</v>
      </c>
      <c r="D50" s="10" t="s">
        <v>145</v>
      </c>
      <c r="E50" s="40"/>
      <c r="F50" s="40"/>
    </row>
    <row r="51" ht="17.6" spans="1:6">
      <c r="A51" s="35"/>
      <c r="B51" s="20" t="s">
        <v>101</v>
      </c>
      <c r="C51" s="20" t="s">
        <v>102</v>
      </c>
      <c r="D51" s="10" t="s">
        <v>145</v>
      </c>
      <c r="E51" s="40"/>
      <c r="F51" s="40"/>
    </row>
    <row r="52" ht="17.6" spans="1:6">
      <c r="A52" s="35"/>
      <c r="B52" s="20" t="s">
        <v>104</v>
      </c>
      <c r="C52" s="20" t="s">
        <v>102</v>
      </c>
      <c r="D52" s="10" t="s">
        <v>145</v>
      </c>
      <c r="E52" s="40"/>
      <c r="F52" s="40"/>
    </row>
    <row r="53" ht="17.6" spans="1:6">
      <c r="A53" s="35"/>
      <c r="B53" s="20" t="s">
        <v>105</v>
      </c>
      <c r="C53" s="20" t="s">
        <v>102</v>
      </c>
      <c r="D53" s="10" t="s">
        <v>145</v>
      </c>
      <c r="E53" s="40"/>
      <c r="F53" s="40"/>
    </row>
    <row r="54" ht="17.6" spans="1:6">
      <c r="A54" s="35"/>
      <c r="B54" s="20" t="s">
        <v>125</v>
      </c>
      <c r="C54" s="20" t="s">
        <v>126</v>
      </c>
      <c r="D54" s="10" t="s">
        <v>145</v>
      </c>
      <c r="E54" s="40"/>
      <c r="F54" s="40"/>
    </row>
    <row r="55" ht="17" hidden="1" spans="1:4">
      <c r="A55" s="33"/>
      <c r="B55" s="25" t="s">
        <v>113</v>
      </c>
      <c r="C55" s="25" t="s">
        <v>114</v>
      </c>
      <c r="D55" s="30" t="s">
        <v>144</v>
      </c>
    </row>
    <row r="56" ht="17.6" hidden="1" spans="1:4">
      <c r="A56" s="33"/>
      <c r="B56" s="20" t="s">
        <v>127</v>
      </c>
      <c r="C56" s="20" t="s">
        <v>128</v>
      </c>
      <c r="D56" s="27" t="s">
        <v>144</v>
      </c>
    </row>
    <row r="57" ht="17.6" hidden="1" spans="1:4">
      <c r="A57" s="33"/>
      <c r="B57" s="20" t="s">
        <v>124</v>
      </c>
      <c r="C57" s="20" t="s">
        <v>120</v>
      </c>
      <c r="D57" s="27" t="s">
        <v>144</v>
      </c>
    </row>
    <row r="58" ht="17.6" hidden="1" spans="1:4">
      <c r="A58" s="33"/>
      <c r="B58" s="20" t="s">
        <v>97</v>
      </c>
      <c r="C58" s="20" t="s">
        <v>98</v>
      </c>
      <c r="D58" s="27" t="s">
        <v>144</v>
      </c>
    </row>
    <row r="59" ht="17.6" hidden="1" spans="1:4">
      <c r="A59" s="33"/>
      <c r="B59" s="22" t="s">
        <v>119</v>
      </c>
      <c r="C59" s="22" t="s">
        <v>120</v>
      </c>
      <c r="D59" s="34" t="s">
        <v>144</v>
      </c>
    </row>
    <row r="60" ht="17" spans="1:6">
      <c r="A60" s="35"/>
      <c r="B60" s="20" t="s">
        <v>123</v>
      </c>
      <c r="C60" s="20" t="s">
        <v>120</v>
      </c>
      <c r="D60" s="29" t="s">
        <v>145</v>
      </c>
      <c r="E60" s="40"/>
      <c r="F60" s="40"/>
    </row>
    <row r="61" ht="34" hidden="1" spans="1:4">
      <c r="A61" s="37" t="s">
        <v>130</v>
      </c>
      <c r="B61" s="25" t="s">
        <v>132</v>
      </c>
      <c r="C61" s="25" t="s">
        <v>93</v>
      </c>
      <c r="D61" s="36" t="s">
        <v>144</v>
      </c>
    </row>
    <row r="62" ht="34" hidden="1" spans="1:4">
      <c r="A62" s="38"/>
      <c r="B62" s="22" t="s">
        <v>133</v>
      </c>
      <c r="C62" s="22" t="s">
        <v>93</v>
      </c>
      <c r="D62" s="34" t="s">
        <v>144</v>
      </c>
    </row>
    <row r="63" ht="17.6" spans="1:6">
      <c r="A63" s="39"/>
      <c r="B63" s="20" t="s">
        <v>135</v>
      </c>
      <c r="C63" s="20" t="s">
        <v>136</v>
      </c>
      <c r="D63" s="10" t="s">
        <v>145</v>
      </c>
      <c r="E63" s="40"/>
      <c r="F63" s="40"/>
    </row>
    <row r="64" ht="34" spans="1:6">
      <c r="A64" s="39"/>
      <c r="B64" s="20" t="s">
        <v>138</v>
      </c>
      <c r="C64" s="20" t="s">
        <v>136</v>
      </c>
      <c r="D64" s="10" t="s">
        <v>145</v>
      </c>
      <c r="E64" s="40"/>
      <c r="F64" s="40"/>
    </row>
    <row r="65" ht="34" spans="1:6">
      <c r="A65" s="39"/>
      <c r="B65" s="20" t="s">
        <v>137</v>
      </c>
      <c r="C65" s="20" t="s">
        <v>136</v>
      </c>
      <c r="D65" s="10" t="s">
        <v>145</v>
      </c>
      <c r="E65" s="40"/>
      <c r="F65" s="40"/>
    </row>
  </sheetData>
  <autoFilter xmlns:etc="http://www.wps.cn/officeDocument/2017/etCustomData" ref="D2:D65" etc:filterBottomFollowUsedRange="0">
    <filterColumn colId="0">
      <filters>
        <filter val="电信"/>
      </filters>
    </filterColumn>
    <extLst/>
  </autoFilter>
  <sortState ref="A2:D64">
    <sortCondition ref="A2"/>
  </sortState>
  <mergeCells count="4">
    <mergeCell ref="B1:F1"/>
    <mergeCell ref="A3:A41"/>
    <mergeCell ref="A42:A60"/>
    <mergeCell ref="A61:A6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"/>
  <sheetViews>
    <sheetView topLeftCell="A53" workbookViewId="0">
      <selection activeCell="A3" sqref="A3:B65"/>
    </sheetView>
  </sheetViews>
  <sheetFormatPr defaultColWidth="9.14285714285714" defaultRowHeight="16.8" outlineLevelCol="1"/>
  <cols>
    <col min="1" max="1" width="15.6428571428571" customWidth="1"/>
    <col min="2" max="2" width="5.85714285714286" customWidth="1"/>
  </cols>
  <sheetData>
    <row r="1" ht="17.6" spans="1:2">
      <c r="A1" s="1"/>
      <c r="B1" s="2"/>
    </row>
    <row r="2" ht="17.6" spans="1:2">
      <c r="A2" s="3" t="s">
        <v>146</v>
      </c>
      <c r="B2" s="3" t="s">
        <v>141</v>
      </c>
    </row>
    <row r="3" ht="17.6" spans="1:2">
      <c r="A3" s="4" t="s">
        <v>92</v>
      </c>
      <c r="B3" s="4" t="s">
        <v>144</v>
      </c>
    </row>
    <row r="4" ht="17.6" spans="1:2">
      <c r="A4" s="4" t="s">
        <v>96</v>
      </c>
      <c r="B4" s="4" t="s">
        <v>144</v>
      </c>
    </row>
    <row r="5" ht="17.6" spans="1:2">
      <c r="A5" s="5" t="s">
        <v>108</v>
      </c>
      <c r="B5" s="5" t="s">
        <v>144</v>
      </c>
    </row>
    <row r="6" ht="17.6" spans="1:2">
      <c r="A6" s="4" t="s">
        <v>48</v>
      </c>
      <c r="B6" s="4" t="s">
        <v>144</v>
      </c>
    </row>
    <row r="7" spans="1:2">
      <c r="A7" s="6" t="s">
        <v>116</v>
      </c>
      <c r="B7" s="6" t="s">
        <v>145</v>
      </c>
    </row>
    <row r="8" ht="17.6" spans="1:2">
      <c r="A8" s="4" t="s">
        <v>106</v>
      </c>
      <c r="B8" s="7" t="s">
        <v>145</v>
      </c>
    </row>
    <row r="9" ht="17.6" spans="1:2">
      <c r="A9" s="4" t="s">
        <v>41</v>
      </c>
      <c r="B9" s="4" t="s">
        <v>144</v>
      </c>
    </row>
    <row r="10" ht="17.6" spans="1:2">
      <c r="A10" s="5" t="s">
        <v>111</v>
      </c>
      <c r="B10" s="5" t="s">
        <v>144</v>
      </c>
    </row>
    <row r="11" ht="17.6" spans="1:2">
      <c r="A11" s="4" t="s">
        <v>44</v>
      </c>
      <c r="B11" s="4" t="s">
        <v>144</v>
      </c>
    </row>
    <row r="12" ht="17.6" spans="1:2">
      <c r="A12" s="4" t="s">
        <v>45</v>
      </c>
      <c r="B12" s="4" t="s">
        <v>144</v>
      </c>
    </row>
    <row r="13" ht="17.6" spans="1:2">
      <c r="A13" s="4" t="s">
        <v>46</v>
      </c>
      <c r="B13" s="4" t="s">
        <v>144</v>
      </c>
    </row>
    <row r="14" ht="17.6" spans="1:2">
      <c r="A14" s="5" t="s">
        <v>112</v>
      </c>
      <c r="B14" s="5" t="s">
        <v>144</v>
      </c>
    </row>
    <row r="15" ht="17.6" spans="1:2">
      <c r="A15" s="8" t="s">
        <v>99</v>
      </c>
      <c r="B15" s="8" t="s">
        <v>144</v>
      </c>
    </row>
    <row r="16" ht="17.6" spans="1:2">
      <c r="A16" s="4" t="s">
        <v>47</v>
      </c>
      <c r="B16" s="4" t="s">
        <v>144</v>
      </c>
    </row>
    <row r="17" ht="17.6" spans="1:2">
      <c r="A17" s="4" t="s">
        <v>82</v>
      </c>
      <c r="B17" s="4" t="s">
        <v>144</v>
      </c>
    </row>
    <row r="18" ht="17.6" spans="1:2">
      <c r="A18" s="4" t="s">
        <v>49</v>
      </c>
      <c r="B18" s="4" t="s">
        <v>144</v>
      </c>
    </row>
    <row r="19" ht="17.6" spans="1:2">
      <c r="A19" s="4" t="s">
        <v>50</v>
      </c>
      <c r="B19" s="4" t="s">
        <v>144</v>
      </c>
    </row>
    <row r="20" ht="17.6" spans="1:2">
      <c r="A20" s="4" t="s">
        <v>51</v>
      </c>
      <c r="B20" s="4" t="s">
        <v>144</v>
      </c>
    </row>
    <row r="21" ht="17.6" spans="1:2">
      <c r="A21" s="4" t="s">
        <v>81</v>
      </c>
      <c r="B21" s="4" t="s">
        <v>145</v>
      </c>
    </row>
    <row r="22" ht="17.6" spans="1:2">
      <c r="A22" s="4" t="s">
        <v>52</v>
      </c>
      <c r="B22" s="4" t="s">
        <v>144</v>
      </c>
    </row>
    <row r="23" ht="17.6" spans="1:2">
      <c r="A23" s="4" t="s">
        <v>53</v>
      </c>
      <c r="B23" s="4" t="s">
        <v>144</v>
      </c>
    </row>
    <row r="24" ht="17.6" spans="1:2">
      <c r="A24" s="4" t="s">
        <v>107</v>
      </c>
      <c r="B24" s="7" t="s">
        <v>145</v>
      </c>
    </row>
    <row r="25" ht="17.6" spans="1:2">
      <c r="A25" s="4" t="s">
        <v>101</v>
      </c>
      <c r="B25" s="7" t="s">
        <v>145</v>
      </c>
    </row>
    <row r="26" ht="17.6" spans="1:2">
      <c r="A26" s="8" t="s">
        <v>104</v>
      </c>
      <c r="B26" s="7" t="s">
        <v>145</v>
      </c>
    </row>
    <row r="27" ht="17.6" spans="1:2">
      <c r="A27" s="4" t="s">
        <v>54</v>
      </c>
      <c r="B27" s="4" t="s">
        <v>144</v>
      </c>
    </row>
    <row r="28" ht="17.6" spans="1:2">
      <c r="A28" s="4" t="s">
        <v>105</v>
      </c>
      <c r="B28" s="7" t="s">
        <v>145</v>
      </c>
    </row>
    <row r="29" ht="17.6" spans="1:2">
      <c r="A29" s="5" t="s">
        <v>125</v>
      </c>
      <c r="B29" s="5" t="s">
        <v>145</v>
      </c>
    </row>
    <row r="30" ht="17.6" spans="1:2">
      <c r="A30" s="4" t="s">
        <v>90</v>
      </c>
      <c r="B30" s="4" t="s">
        <v>144</v>
      </c>
    </row>
    <row r="31" ht="17.6" spans="1:2">
      <c r="A31" s="4" t="s">
        <v>78</v>
      </c>
      <c r="B31" s="4" t="s">
        <v>144</v>
      </c>
    </row>
    <row r="32" spans="1:2">
      <c r="A32" s="6" t="s">
        <v>35</v>
      </c>
      <c r="B32" s="6" t="s">
        <v>144</v>
      </c>
    </row>
    <row r="33" spans="1:2">
      <c r="A33" s="6" t="s">
        <v>113</v>
      </c>
      <c r="B33" s="6" t="s">
        <v>144</v>
      </c>
    </row>
    <row r="34" ht="17.6" spans="1:2">
      <c r="A34" s="5" t="s">
        <v>132</v>
      </c>
      <c r="B34" s="5" t="s">
        <v>144</v>
      </c>
    </row>
    <row r="35" spans="1:2">
      <c r="A35" s="6" t="s">
        <v>37</v>
      </c>
      <c r="B35" s="6" t="s">
        <v>144</v>
      </c>
    </row>
    <row r="36" spans="1:2">
      <c r="A36" s="6" t="s">
        <v>38</v>
      </c>
      <c r="B36" s="6" t="s">
        <v>144</v>
      </c>
    </row>
    <row r="37" spans="1:2">
      <c r="A37" s="6" t="s">
        <v>39</v>
      </c>
      <c r="B37" s="6" t="s">
        <v>144</v>
      </c>
    </row>
    <row r="38" spans="1:2">
      <c r="A38" s="6" t="s">
        <v>40</v>
      </c>
      <c r="B38" s="6" t="s">
        <v>144</v>
      </c>
    </row>
    <row r="39" spans="1:2">
      <c r="A39" s="6" t="s">
        <v>31</v>
      </c>
      <c r="B39" s="6" t="s">
        <v>144</v>
      </c>
    </row>
    <row r="40" ht="17.6" spans="1:2">
      <c r="A40" s="9" t="s">
        <v>133</v>
      </c>
      <c r="B40" s="9" t="s">
        <v>144</v>
      </c>
    </row>
    <row r="41" ht="17.6" spans="1:2">
      <c r="A41" s="4" t="s">
        <v>89</v>
      </c>
      <c r="B41" s="4" t="s">
        <v>144</v>
      </c>
    </row>
    <row r="42" spans="1:2">
      <c r="A42" s="6" t="s">
        <v>34</v>
      </c>
      <c r="B42" s="6" t="s">
        <v>144</v>
      </c>
    </row>
    <row r="43" spans="1:2">
      <c r="A43" s="6" t="s">
        <v>36</v>
      </c>
      <c r="B43" s="6" t="s">
        <v>144</v>
      </c>
    </row>
    <row r="44" ht="17.6" spans="1:2">
      <c r="A44" s="4" t="s">
        <v>127</v>
      </c>
      <c r="B44" s="4" t="s">
        <v>144</v>
      </c>
    </row>
    <row r="45" ht="17.6" spans="1:2">
      <c r="A45" s="4" t="s">
        <v>124</v>
      </c>
      <c r="B45" s="4" t="s">
        <v>144</v>
      </c>
    </row>
    <row r="46" spans="1:2">
      <c r="A46" s="6" t="s">
        <v>64</v>
      </c>
      <c r="B46" s="6" t="s">
        <v>145</v>
      </c>
    </row>
    <row r="47" spans="1:2">
      <c r="A47" s="6" t="s">
        <v>63</v>
      </c>
      <c r="B47" s="6" t="s">
        <v>145</v>
      </c>
    </row>
    <row r="48" ht="17.6" spans="1:2">
      <c r="A48" s="4" t="s">
        <v>61</v>
      </c>
      <c r="B48" s="4" t="s">
        <v>145</v>
      </c>
    </row>
    <row r="49" spans="1:2">
      <c r="A49" s="6" t="s">
        <v>66</v>
      </c>
      <c r="B49" s="6" t="s">
        <v>145</v>
      </c>
    </row>
    <row r="50" ht="17.6" spans="1:2">
      <c r="A50" s="4" t="s">
        <v>60</v>
      </c>
      <c r="B50" s="4" t="s">
        <v>145</v>
      </c>
    </row>
    <row r="51" spans="1:2">
      <c r="A51" s="6" t="s">
        <v>69</v>
      </c>
      <c r="B51" s="6" t="s">
        <v>145</v>
      </c>
    </row>
    <row r="52" ht="17.6" spans="1:2">
      <c r="A52" s="4" t="s">
        <v>97</v>
      </c>
      <c r="B52" s="4" t="s">
        <v>144</v>
      </c>
    </row>
    <row r="53" ht="17.6" spans="1:2">
      <c r="A53" s="4" t="s">
        <v>56</v>
      </c>
      <c r="B53" s="4" t="s">
        <v>145</v>
      </c>
    </row>
    <row r="54" ht="17.6" spans="1:2">
      <c r="A54" s="8" t="s">
        <v>59</v>
      </c>
      <c r="B54" s="4" t="s">
        <v>145</v>
      </c>
    </row>
    <row r="55" ht="17.6" spans="1:2">
      <c r="A55" s="10" t="s">
        <v>70</v>
      </c>
      <c r="B55" s="10" t="s">
        <v>145</v>
      </c>
    </row>
    <row r="56" ht="17.6" spans="1:2">
      <c r="A56" s="10" t="s">
        <v>75</v>
      </c>
      <c r="B56" s="10" t="s">
        <v>145</v>
      </c>
    </row>
    <row r="57" ht="17.6" spans="1:2">
      <c r="A57" s="4" t="s">
        <v>135</v>
      </c>
      <c r="B57" s="7" t="s">
        <v>145</v>
      </c>
    </row>
    <row r="58" ht="17.6" spans="1:2">
      <c r="A58" s="5" t="s">
        <v>88</v>
      </c>
      <c r="B58" s="5" t="s">
        <v>145</v>
      </c>
    </row>
    <row r="59" ht="17.6" spans="1:2">
      <c r="A59" s="5" t="s">
        <v>138</v>
      </c>
      <c r="B59" s="5" t="s">
        <v>145</v>
      </c>
    </row>
    <row r="60" ht="17.6" spans="1:2">
      <c r="A60" s="9" t="s">
        <v>87</v>
      </c>
      <c r="B60" s="9" t="s">
        <v>145</v>
      </c>
    </row>
    <row r="61" ht="17.6" spans="1:2">
      <c r="A61" s="4" t="s">
        <v>137</v>
      </c>
      <c r="B61" s="7" t="s">
        <v>145</v>
      </c>
    </row>
    <row r="62" spans="1:2">
      <c r="A62" s="6" t="s">
        <v>83</v>
      </c>
      <c r="B62" s="6" t="s">
        <v>144</v>
      </c>
    </row>
    <row r="63" ht="17.6" spans="1:2">
      <c r="A63" s="5" t="s">
        <v>119</v>
      </c>
      <c r="B63" s="5" t="s">
        <v>144</v>
      </c>
    </row>
    <row r="64" spans="1:2">
      <c r="A64" s="6" t="s">
        <v>123</v>
      </c>
      <c r="B64" s="6" t="s">
        <v>145</v>
      </c>
    </row>
    <row r="65" spans="1:2">
      <c r="A65" s="6" t="s">
        <v>86</v>
      </c>
      <c r="B65" s="6" t="s">
        <v>144</v>
      </c>
    </row>
  </sheetData>
  <sortState ref="A3:B65">
    <sortCondition ref="A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</dc:creator>
  <cp:lastModifiedBy>王元</cp:lastModifiedBy>
  <dcterms:created xsi:type="dcterms:W3CDTF">2015-06-06T02:19:00Z</dcterms:created>
  <dcterms:modified xsi:type="dcterms:W3CDTF">2026-02-10T11:40:44Z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2052-7.3.0.8966</vt:lpwstr>
  </property>
  <property fmtid="{D5CDD505-2E9C-101B-9397-08002B2CF9AE}" pid="3" name="ICV">
    <vt:lpwstr>C8EBBDB1BCDC00ABBCA88A6922D37D89_43</vt:lpwstr>
  </property>
</Properties>
</file>